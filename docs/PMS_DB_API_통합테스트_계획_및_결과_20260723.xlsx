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ocs\"/>
    </mc:Choice>
  </mc:AlternateContent>
  <xr:revisionPtr revIDLastSave="0" documentId="13_ncr:1_{0C778D68-82CC-4C6D-94F1-B0F8FD8C5310}" xr6:coauthVersionLast="47" xr6:coauthVersionMax="47" xr10:uidLastSave="{00000000-0000-0000-0000-000000000000}"/>
  <bookViews>
    <workbookView xWindow="-120" yWindow="-120" windowWidth="29040" windowHeight="15720" firstSheet="2" activeTab="5" xr2:uid="{3EA2099C-A3FF-40D6-9BA0-E980E2304D09}"/>
  </bookViews>
  <sheets>
    <sheet name="00_기능별 현황" sheetId="1" r:id="rId1"/>
    <sheet name="01_전체 케이스" sheetId="2" r:id="rId2"/>
    <sheet name="02_Admin-PMS 연계" sheetId="3" r:id="rId3"/>
    <sheet name="03_E2E 결과" sheetId="4" r:id="rId4"/>
    <sheet name="04_결함 및 수정" sheetId="5" r:id="rId5"/>
    <sheet name="05_페이지_API_DB 추적" sheetId="6" r:id="rId6"/>
    <sheet name="99_코드맵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F22" i="1"/>
  <c r="E22" i="1"/>
  <c r="D22" i="1"/>
  <c r="H22" i="1" s="1"/>
  <c r="C22" i="1"/>
  <c r="G22" i="1" s="1"/>
  <c r="B22" i="1"/>
  <c r="F21" i="1"/>
  <c r="E21" i="1"/>
  <c r="D21" i="1"/>
  <c r="H21" i="1" s="1"/>
  <c r="C21" i="1"/>
  <c r="G21" i="1" s="1"/>
  <c r="B21" i="1"/>
  <c r="F20" i="1"/>
  <c r="E20" i="1"/>
  <c r="D20" i="1"/>
  <c r="H20" i="1" s="1"/>
  <c r="C20" i="1"/>
  <c r="G20" i="1" s="1"/>
  <c r="B20" i="1"/>
  <c r="H19" i="1"/>
  <c r="G19" i="1"/>
  <c r="F19" i="1"/>
  <c r="E19" i="1"/>
  <c r="D19" i="1"/>
  <c r="C19" i="1"/>
  <c r="B19" i="1"/>
  <c r="F18" i="1"/>
  <c r="E18" i="1"/>
  <c r="D18" i="1"/>
  <c r="H18" i="1" s="1"/>
  <c r="C18" i="1"/>
  <c r="G18" i="1" s="1"/>
  <c r="B18" i="1"/>
  <c r="F17" i="1"/>
  <c r="E17" i="1"/>
  <c r="D17" i="1"/>
  <c r="C17" i="1"/>
  <c r="B17" i="1"/>
  <c r="F16" i="1"/>
  <c r="E16" i="1"/>
  <c r="D16" i="1"/>
  <c r="H16" i="1" s="1"/>
  <c r="C16" i="1"/>
  <c r="G16" i="1" s="1"/>
  <c r="B16" i="1"/>
  <c r="F15" i="1"/>
  <c r="E15" i="1"/>
  <c r="D15" i="1"/>
  <c r="H15" i="1" s="1"/>
  <c r="C15" i="1"/>
  <c r="G15" i="1" s="1"/>
  <c r="B15" i="1"/>
  <c r="F14" i="1"/>
  <c r="E14" i="1"/>
  <c r="D14" i="1"/>
  <c r="H14" i="1" s="1"/>
  <c r="C14" i="1"/>
  <c r="G14" i="1" s="1"/>
  <c r="B14" i="1"/>
  <c r="F13" i="1"/>
  <c r="E13" i="1"/>
  <c r="D13" i="1"/>
  <c r="H13" i="1" s="1"/>
  <c r="C13" i="1"/>
  <c r="G13" i="1" s="1"/>
  <c r="B13" i="1"/>
  <c r="G12" i="1"/>
  <c r="F12" i="1"/>
  <c r="H12" i="1" s="1"/>
  <c r="E12" i="1"/>
  <c r="D12" i="1"/>
  <c r="C12" i="1"/>
  <c r="B12" i="1"/>
  <c r="F11" i="1"/>
  <c r="E11" i="1"/>
  <c r="D11" i="1"/>
  <c r="H11" i="1" s="1"/>
  <c r="C11" i="1"/>
  <c r="G11" i="1" s="1"/>
  <c r="B11" i="1"/>
  <c r="I5" i="1"/>
  <c r="O7" i="1" s="1"/>
  <c r="G5" i="1"/>
  <c r="O6" i="1" s="1"/>
  <c r="E5" i="1"/>
  <c r="O5" i="1" s="1"/>
  <c r="C5" i="1"/>
  <c r="A5" i="1"/>
  <c r="H17" i="1" l="1"/>
  <c r="G17" i="1"/>
  <c r="O4" i="1"/>
  <c r="K5" i="1"/>
</calcChain>
</file>

<file path=xl/sharedStrings.xml><?xml version="1.0" encoding="utf-8"?>
<sst xmlns="http://schemas.openxmlformats.org/spreadsheetml/2006/main" count="2480" uniqueCount="1027">
  <si>
    <t>No</t>
  </si>
  <si>
    <t>구분</t>
  </si>
  <si>
    <t>기능</t>
  </si>
  <si>
    <t>Case ID</t>
  </si>
  <si>
    <t>우선순위</t>
  </si>
  <si>
    <t>화면/흐름</t>
  </si>
  <si>
    <t>입력·절차</t>
  </si>
  <si>
    <t>예상 결과</t>
  </si>
  <si>
    <t>상태</t>
  </si>
  <si>
    <t>실행일시</t>
  </si>
  <si>
    <t>실행자</t>
  </si>
  <si>
    <t>실제 결과</t>
  </si>
  <si>
    <t>API 결과</t>
  </si>
  <si>
    <t>DB 결과</t>
  </si>
  <si>
    <t>감사 로그</t>
  </si>
  <si>
    <t>결함 ID</t>
  </si>
  <si>
    <t>원인</t>
  </si>
  <si>
    <t>수정 내용</t>
  </si>
  <si>
    <t>수정 Commit</t>
  </si>
  <si>
    <t>재시험</t>
  </si>
  <si>
    <t>증거 링크</t>
  </si>
  <si>
    <t>DB·API</t>
  </si>
  <si>
    <t>계약·환경·스키마</t>
  </si>
  <si>
    <t>DBAPI-C-001</t>
  </si>
  <si>
    <t>P0</t>
  </si>
  <si>
    <t>배포 직후 health/version 및 업무일 API 호출</t>
  </si>
  <si>
    <t>200, build/version·server time·timezone 확인. DB 연결 실패를 200으로 숨기지 않음</t>
  </si>
  <si>
    <t>미실행</t>
  </si>
  <si>
    <t>DBAPI-C-002</t>
  </si>
  <si>
    <t>API 명세의 모든 Endpoint를 Method·URI 기준으로 대조</t>
  </si>
  <si>
    <t>누락·중복·잘못된 Method 0건. 미구현은 404가 아니라 배포 전 차단 항목으로 기록</t>
  </si>
  <si>
    <t>DBAPI-C-003</t>
  </si>
  <si>
    <t>정상 요청의 필수/선택 필드, 최대 길이, 소수점, 날짜 형식 입력</t>
  </si>
  <si>
    <t>명세 타입과 DB 타입 일치. 문자열 잘림·숫자 반올림·날짜 하루 이동 없음</t>
  </si>
  <si>
    <t>DBAPI-C-004</t>
  </si>
  <si>
    <t>P1</t>
  </si>
  <si>
    <t>필수 필드 누락, 잘못된 enum, 최대 길이+1, 음수 금액 전송</t>
  </si>
  <si>
    <t>400/422와 필드별 오류. DB 저장 0건, 성공 토스트 없음</t>
  </si>
  <si>
    <t>DBAPI-C-005</t>
  </si>
  <si>
    <t>없는 ID, 다른 tenant ID, 삭제된 ID 조회</t>
  </si>
  <si>
    <t>404/403 구분. 다른 tenant의 존재 여부를 메시지로 노출하지 않음</t>
  </si>
  <si>
    <t>DBAPI-C-006</t>
  </si>
  <si>
    <t>목록 API의 page, size, sort, filter 조합</t>
  </si>
  <si>
    <t>total/page/size/hasNext 정확, 중복·누락 없음, 정렬 안정적</t>
  </si>
  <si>
    <t>DBAPI-C-007</t>
  </si>
  <si>
    <t>null, 빈 문자열, 0, false가 포함된 응답 렌더링</t>
  </si>
  <si>
    <t>값이 서로 대체되지 않고 명세 의미대로 표시. 번역 키 원문 노출 없음</t>
  </si>
  <si>
    <t>DBAPI-C-008</t>
  </si>
  <si>
    <t>동일 요청의 correlation ID와 server log 추적</t>
  </si>
  <si>
    <t>UI 요청 1건을 API·DB·감사 로그에서 동일 ID로 추적 가능</t>
  </si>
  <si>
    <t>DBAPI-C-009</t>
  </si>
  <si>
    <t>API 오류 envelope와 한국어·영어 오류 표시 확인</t>
  </si>
  <si>
    <t>서버는 안정된 error code 반환, 화면은 현재 언어로 변환. 서버 한글 문자열 강제 표시 없음</t>
  </si>
  <si>
    <t>DBAPI-C-010</t>
  </si>
  <si>
    <t>seed 생성 후 관계 수·금액·상태 기준값 조회</t>
  </si>
  <si>
    <t>fixture 건수와 합계 일치. 실행 전 기준 snapshot 저장</t>
  </si>
  <si>
    <t>인증·테넌트·권한</t>
  </si>
  <si>
    <t>DBAPI-A-001</t>
  </si>
  <si>
    <t>근무 중 관리자 계정으로 로그인→새로고침→재접속</t>
  </si>
  <si>
    <t>200, tenant/role/permission 포함. 세션 유지, 비밀번호·token DB/응답 노출 없음</t>
  </si>
  <si>
    <t>DBAPI-A-002</t>
  </si>
  <si>
    <t>휴직·퇴직 계정으로 로그인</t>
  </si>
  <si>
    <t>401/403, 세션 생성 0건, 로그인 화면에 사유를 과도하게 노출하지 않음</t>
  </si>
  <si>
    <t>DBAPI-A-003</t>
  </si>
  <si>
    <t>비밀번호 5회 오류 후 정상 비밀번호 입력</t>
  </si>
  <si>
    <t>정책대로 제한·해제. 실패·성공 감사 기록과 계정 상태 일치</t>
  </si>
  <si>
    <t>DBAPI-A-004</t>
  </si>
  <si>
    <t>만료 access token으로 조회, 유효 refresh token으로 갱신</t>
  </si>
  <si>
    <t>허용된 1회 갱신 후 원 요청 재시도. 중복 mutation 없음</t>
  </si>
  <si>
    <t>DBAPI-A-005</t>
  </si>
  <si>
    <t>로그아웃 후 이전 token으로 상세 API 호출</t>
  </si>
  <si>
    <t>401, 보호 페이지 캐시 노출 없음, refresh token 폐기</t>
  </si>
  <si>
    <t>DBAPI-A-006</t>
  </si>
  <si>
    <t>TEN-QA-PH token으로 TEN-QA-ISO의 예약·고객 ID 조회/수정</t>
  </si>
  <si>
    <t>403/404, DB 변경 0건, tenant 간 데이터 노출 0건</t>
  </si>
  <si>
    <t>DBAPI-A-007</t>
  </si>
  <si>
    <t>프런트 계정으로 직원·권한·정산 되돌리기 호출</t>
  </si>
  <si>
    <t>메뉴와 API 모두 차단. 버튼 숨김만으로 끝내지 않고 API 403</t>
  </si>
  <si>
    <t>DBAPI-A-008</t>
  </si>
  <si>
    <t>역할의 기능 권한을 변경하고 열린 세션·재로그인에서 재시도</t>
  </si>
  <si>
    <t>정책 시점에 맞게 즉시 또는 재로그인 적용. 역할/권한 캐시 불일치 없음</t>
  </si>
  <si>
    <t>DBAPI-A-009</t>
  </si>
  <si>
    <t>관리자 본인 정보에서 이메일·비밀번호 변경 후 재로그인</t>
  </si>
  <si>
    <t>StaffUser 1건 수정, 기존 비밀번호 실패, 새 비밀번호 성공, 감사 로그 기록</t>
  </si>
  <si>
    <t>DBAPI-A-010</t>
  </si>
  <si>
    <t>동시 브라우저 2개에서 한 계정의 상태를 휴직으로 변경</t>
  </si>
  <si>
    <t>정책대로 기존 세션 폐기 또는 다음 요청 차단, 신규 로그인 불가</t>
  </si>
  <si>
    <t>예약·객실·체크인·체크아웃</t>
  </si>
  <si>
    <t>DBAPI-R-001</t>
  </si>
  <si>
    <t>예약 현황의 `TD-ROOM-CLEAN` 카드를 클릭, D0~D+1 고객 입력·저장</t>
  </si>
  <si>
    <t>요청 roomId가 클릭한 객실과 동일. Reservation 1건·Guest 연결 1건 생성, 다른 객실로 변경되지 않음</t>
  </si>
  <si>
    <t>DBAPI-R-002</t>
  </si>
  <si>
    <t>객실 카드에서 신규 예약을 연 뒤 날짜를 D0~D+2로 변경</t>
  </si>
  <si>
    <t>선택 roomId 유지. 가용성 재조회 후 충돌 시에만 해제/차단하며 임의 객실 선택 없음</t>
  </si>
  <si>
    <t>DBAPI-R-003</t>
  </si>
  <si>
    <t>일반 `신규 예약` 버튼으로 D0~D+1 입력</t>
  </si>
  <si>
    <t>가용 객실만 조회하고 사용자가 객실을 선택. 카드 진입 로직과 구분</t>
  </si>
  <si>
    <t>DBAPI-R-004</t>
  </si>
  <si>
    <t>`TD-ROOM-DIRTY` 예약 저장→경고 취소→다시 저장→계속</t>
  </si>
  <si>
    <t>취소 시 POST 0건, 계속 시 1건. 청소 상태 유지, 중복 예약 0건</t>
  </si>
  <si>
    <t>DBAPI-R-005</t>
  </si>
  <si>
    <t>`TD-ROOM-MAINT` 예약·체크인 시도</t>
  </si>
  <si>
    <t>409/422, Reservation/체크인 이력 0건. 점검 중 상태 유지</t>
  </si>
  <si>
    <t>DBAPI-R-006</t>
  </si>
  <si>
    <t>기존 예약과 겹치는 시작·종료·완전포함 3개 일정 저장</t>
  </si>
  <si>
    <t>모두 409, 기존 예약 불변. DB unique/locking으로 동시 저장도 한 건만 성공</t>
  </si>
  <si>
    <t>DBAPI-R-007</t>
  </si>
  <si>
    <t>체크아웃&lt;체크인, 같은 날 역전 시간, 과거 허용 범위 밖 날짜</t>
  </si>
  <si>
    <t>400/422, 필드 오류, 저장 0건. 화면 입력 유지</t>
  </si>
  <si>
    <t>DBAPI-R-008</t>
  </si>
  <si>
    <t>예약 날짜·금액·메모 수정 후 목록·타임라인·상세 재조회</t>
  </si>
  <si>
    <t>Reservation `updatedAt/version` 증가, 대상 1건만 수정, 세 화면 동일</t>
  </si>
  <si>
    <t>DBAPI-R-009</t>
  </si>
  <si>
    <t>예약 취소 후 동일 객실·기간 가용성 재조회</t>
  </si>
  <si>
    <t>예약 cancelled, 객실 기간 반환, 감사 로그 1건. 결제 존재 시 정책에 따른 취소/환불 분기</t>
  </si>
  <si>
    <t>DBAPI-R-010</t>
  </si>
  <si>
    <t>D0 예약 정상 체크인</t>
  </si>
  <si>
    <t>예약 in_house, room occupied, 체크인 시각·담당자 기록. 성공 후 모달 닫힘</t>
  </si>
  <si>
    <t>DBAPI-R-011</t>
  </si>
  <si>
    <t>D+1 예약 체크인 시도</t>
  </si>
  <si>
    <t>정책상 허용되지 않으면 409/422, 상태 불변. 잘못된 점검 안내 사용 금지</t>
  </si>
  <si>
    <t>DBAPI-R-012</t>
  </si>
  <si>
    <t>청소 필요 객실 체크인 경고에서 취소·승인 각각 실행</t>
  </si>
  <si>
    <t>취소는 mutation 0건, 승인 권한이 있는 경우만 체크인. 경고 선택과 DB 결과 일치</t>
  </si>
  <si>
    <t>DBAPI-R-013</t>
  </si>
  <si>
    <t>투숙 중 예약을 D+1 예정에서 D0 조기 체크아웃</t>
  </si>
  <si>
    <t>예약 checked_out, 실제 checkoutAt=T0. `미도착/no-show/late`로 변경되지 않음</t>
  </si>
  <si>
    <t>DBAPI-R-014</t>
  </si>
  <si>
    <t>미수금이 있는 예약 체크아웃 시도</t>
  </si>
  <si>
    <t>정책상 차단, Folio·Reservation 불변. 수납 후 재시도하면 정확히 1회 성공</t>
  </si>
  <si>
    <t>DBAPI-R-015</t>
  </si>
  <si>
    <t>정상 체크아웃 후 예약 현황·객실·하우스키핑 조회</t>
  </si>
  <si>
    <t>예약은 이력상 checked_out, 객실은 vacant와 청소 필요. 투숙·레이트 카드로 나오지 않음</t>
  </si>
  <si>
    <t>DBAPI-R-016</t>
  </si>
  <si>
    <t>체크아웃 완료 필터와 공실 필터 비교</t>
  </si>
  <si>
    <t>완료는 예약 이력, 공실은 현재 객실 상태로 분리. 같은 의미로 중복 KPI 처리하지 않음</t>
  </si>
  <si>
    <t>DBAPI-R-017</t>
  </si>
  <si>
    <t>투숙객을 다른 청소 완료 공실로 객실 이동</t>
  </si>
  <si>
    <t>기존 배정 종료·신규 배정 생성이 한 transaction. 보드·타임라인·감사 이력 일치</t>
  </si>
  <si>
    <t>DBAPI-R-018</t>
  </si>
  <si>
    <t>이동 요청 중 두 번째 DB 작업을 강제 실패</t>
  </si>
  <si>
    <t>전체 rollback, 기존 객실 유지, 반쪽 배정 없음</t>
  </si>
  <si>
    <t>DBAPI-R-019</t>
  </si>
  <si>
    <t>전체·체크인·체크아웃·투숙·레이트·단체·청소·공실·객실변경 필터 순회</t>
  </si>
  <si>
    <t>count=실제 카드 수. 같은 reservation ID의 색상·라벨·금액은 필터마다 동일</t>
  </si>
  <si>
    <t>DBAPI-R-020</t>
  </si>
  <si>
    <t>객실 변경 이력 2건 중 동일 예약의 이동 2단계를 조회</t>
  </si>
  <si>
    <t>명세가 건수면 2건, 예약 수면 1건으로 정의와 UI 일치. 숫자만 2이고 카드 1개인 모호성 없음</t>
  </si>
  <si>
    <t>DBAPI-R-021</t>
  </si>
  <si>
    <t>예약 목록과 현황의 동일 필터·업무일 요청 비교</t>
  </si>
  <si>
    <t>동일 기준의 count와 상태 일치. `오늘 체크인`은 D0 도착 대상만 포함</t>
  </si>
  <si>
    <t>DBAPI-R-022</t>
  </si>
  <si>
    <t>타임라인 from=D-7,to=D+14 및 다음 기간 조회</t>
  </si>
  <si>
    <t>지정 기간만 반환, 경계 예약 포함 규칙 일치, 전체 이력 일괄 조회 없음</t>
  </si>
  <si>
    <t>DBAPI-R-023</t>
  </si>
  <si>
    <t>예약 현황 businessDate=D0 조회의 SQL/응답량 측정</t>
  </si>
  <si>
    <t>현재 운영에 필요한 예약과 최신 객실 상태만 반환, 과거 전체 이력 로드 없음</t>
  </si>
  <si>
    <t>DBAPI-R-024</t>
  </si>
  <si>
    <t>저장 버튼을 빠르게 3회 클릭하고 첫 응답 전에 새로고침</t>
  </si>
  <si>
    <t>idempotency key/서버 제약으로 예약 1건, 고객·Folio 중복 0건</t>
  </si>
  <si>
    <t>DBAPI-R-025</t>
  </si>
  <si>
    <t>두 사용자가 같은 객실·기간을 동시에 예약</t>
  </si>
  <si>
    <t>한 요청만 성공, 다른 요청 409. double booking 0건</t>
  </si>
  <si>
    <t>단체·고객·객실 배정</t>
  </si>
  <si>
    <t>DBAPI-G-001</t>
  </si>
  <si>
    <t>단체 업체 등록→상세→편집→새로고침</t>
  </si>
  <si>
    <t>GroupCompany 1건, 사용자 입력 업체명 원문 유지, tenant 연결 정확</t>
  </si>
  <si>
    <t>DBAPI-G-002</t>
  </si>
  <si>
    <t>참조 없는 업체 삭제, 진행/과거/미정산 행사가 있는 업체 삭제</t>
  </si>
  <si>
    <t>참조 없으면 soft delete. 참조 있으면 409와 이유, 연관 데이터 불변</t>
  </si>
  <si>
    <t>DBAPI-G-003</t>
  </si>
  <si>
    <t>단체 행사 생성, 객실 3실 배정, 대표·동반 투숙객 연결</t>
  </si>
  <si>
    <t>행사·배정·투숙객이 한 흐름으로 연결, 중복 객실 배정 없음</t>
  </si>
  <si>
    <t>DBAPI-G-004</t>
  </si>
  <si>
    <t>객실 배정 중 한 객실이 다른 예약과 충돌</t>
  </si>
  <si>
    <t>전체 저장 또는 충돌 객실 제외 정책이 명세와 일치. 조용한 부분 저장 금지</t>
  </si>
  <si>
    <t>DBAPI-G-005</t>
  </si>
  <si>
    <t>전체·단체 필터에서 같은 단체 객실 조회</t>
  </si>
  <si>
    <t>예약 상태에 따른 카드 색상 동일, 단체 여부는 별도 배지. 필터 변경으로 보라색 등 임의 변경 없음</t>
  </si>
  <si>
    <t>DBAPI-G-006</t>
  </si>
  <si>
    <t>통계 `최근 1년` 선택 후 조회 전·후 비교</t>
  </si>
  <si>
    <t>선택만으로 API 호출/결과 변경 없음. 조회 시 실제 시작일·종료일 전송·표시</t>
  </si>
  <si>
    <t>DBAPI-G-007</t>
  </si>
  <si>
    <t>단체 통계 객실·POS·골프·렌터카·음식점·기타 합계 검증</t>
  </si>
  <si>
    <t>원천 Folio/Ancillary 합과 기간 요약·상세·하단 합계가 정확히 일치</t>
  </si>
  <si>
    <t>DBAPI-G-008</t>
  </si>
  <si>
    <t>같은 업체에 완료·취소·미정산 행사 혼합 조회</t>
  </si>
  <si>
    <t>방문 수, 객실 수, 숙박일, 비용의 포함 기준이 명세와 일치</t>
  </si>
  <si>
    <t>DBAPI-G-009</t>
  </si>
  <si>
    <t>고객 대표 변경·동반 추가·삭제 후 예약과 CRM 재조회</t>
  </si>
  <si>
    <t>ReservationGuest 역할과 Guest 이력이 일치, 삭제된 연결만 제거</t>
  </si>
  <si>
    <t>DBAPI-G-010</t>
  </si>
  <si>
    <t>한글 업체명·담당자명을 영어 UI에서 조회·수정</t>
  </si>
  <si>
    <t>필드 라벨만 영어, 사용자 입력은 `Hana Tour` 등으로 자동 번역하지 않음</t>
  </si>
  <si>
    <t>객실 운영·청소·시설 보수</t>
  </si>
  <si>
    <t>DBAPI-O-001</t>
  </si>
  <si>
    <t>청소 상태를 `청소 필요→청소 완료→방해 금지→점검 중`으로 전환</t>
  </si>
  <si>
    <t>허용 enum만 저장. 요청하지 않은 `청소 중` 상태 생성/표시 없음</t>
  </si>
  <si>
    <t>DBAPI-O-002</t>
  </si>
  <si>
    <t>예약 현황·객실 관리·하우스키핑에서 같은 객실 조회</t>
  </si>
  <si>
    <t>상태·색상·풀다운 스타일 일치, 필터에 따라 색이 달라지지 않음</t>
  </si>
  <si>
    <t>DBAPI-O-003</t>
  </si>
  <si>
    <t>점검 ticket 생성 후 예약·체크인, ticket 완료 후 재시도</t>
  </si>
  <si>
    <t>진행 중 차단, 완료 후 정책에 따라 청소 확인 상태로 전환 후 사용 가능</t>
  </si>
  <si>
    <t>DBAPI-O-004</t>
  </si>
  <si>
    <t>보수 ticket 등록→수정→담당 변경→완료→삭제 제약</t>
  </si>
  <si>
    <t>각 상태와 audit 기록, 완료 ticket의 삭제/보존 정책 준수</t>
  </si>
  <si>
    <t>DBAPI-O-005</t>
  </si>
  <si>
    <t>체크아웃 transaction 후 객실·청소 task 생성 확인</t>
  </si>
  <si>
    <t>room vacant, 청소 필요, HousekeepingTask 1건. 중복 task 없음</t>
  </si>
  <si>
    <t>DBAPI-O-006</t>
  </si>
  <si>
    <t>DND 객실 청소 완료 시도와 권한 없는 사용자 상태 변경</t>
  </si>
  <si>
    <t>정책 안내/403, RoomStatus 불변, 실패 audit 정책 준수</t>
  </si>
  <si>
    <t>DBAPI-O-007</t>
  </si>
  <si>
    <t>풀다운을 연 채 필터·언어·화면 폭 변경</t>
  </si>
  <si>
    <t>선택값과 DB ID 유지, 떨림·재렌더 반복·의도치 않은 mutation 없음</t>
  </si>
  <si>
    <t>DBAPI-O-008</t>
  </si>
  <si>
    <t>객실/객실 유형 삭제 시 과거 예약 참조 존재</t>
  </si>
  <si>
    <t>409 또는 비활성화, 과거 Folio·예약 이력 보존</t>
  </si>
  <si>
    <t>부가서비스·업체·바우처</t>
  </si>
  <si>
    <t>DBAPI-N-001</t>
  </si>
  <si>
    <t>투숙객 없는 공실·단체 미배정 객실의 부가서비스 조회</t>
  </si>
  <si>
    <t>카드·등록 대상 미노출, API도 대상 제외. 부가서비스 합계 0</t>
  </si>
  <si>
    <t>DBAPI-N-002</t>
  </si>
  <si>
    <t>통합 POS→골프장→렌터카→음식점→기타 순으로 업체·항목 조회</t>
  </si>
  <si>
    <t>명세 순서·카테고리 code 일치, 선택 필터는 실제 주문이 있는 객실만 표시</t>
  </si>
  <si>
    <t>DBAPI-N-003</t>
  </si>
  <si>
    <t>투숙 중 객실에 5개 카테고리 각 1건 등록</t>
  </si>
  <si>
    <t>AncillaryOrder 5건, room/guest/group/folio 연결 정확, 금액·통화 유지</t>
  </si>
  <si>
    <t>DBAPI-N-004</t>
  </si>
  <si>
    <t>부가서비스 완료→미완료 전환→새로고침→완료</t>
  </si>
  <si>
    <t>DB 상태가 매 단계 유지, 버튼은 다음 가능한 동작 표시, audit 2건</t>
  </si>
  <si>
    <t>DBAPI-N-005</t>
  </si>
  <si>
    <t>완료 또는 미완료 버튼 3회 빠르게 클릭</t>
  </si>
  <si>
    <t>허용 전이 1회만 반영, 감사 로그와 Folio line 중복 없음</t>
  </si>
  <si>
    <t>DBAPI-N-006</t>
  </si>
  <si>
    <t>부가서비스 취소/되돌리기 후 정산·감사 로그 확인</t>
  </si>
  <si>
    <t>원 주문 보존+상태 변경, Folio 반영 규칙 일치, actor·사유 기록</t>
  </si>
  <si>
    <t>DBAPI-N-007</t>
  </si>
  <si>
    <t>업체·항목 등록→수정→사용 중 항목 삭제 시도</t>
  </si>
  <si>
    <t>새 주문 선택값 반영, 사용 이력 있는 항목은 비활성화/409, 과거 주문 보존</t>
  </si>
  <si>
    <t>DBAPI-N-008</t>
  </si>
  <si>
    <t>골프·렌터카·음식점 쿠폰/바우처 데이터 저장·미리보기·인쇄</t>
  </si>
  <si>
    <t>저장 필드와 출력 내용 일치, 새로고침 후 유지, 통합 POS에는 바우처 기능 미노출</t>
  </si>
  <si>
    <t>DBAPI-N-009</t>
  </si>
  <si>
    <t>단체 객실 3실에 동일 골프 항목 일괄 등록 중 1실 실패 주입</t>
  </si>
  <si>
    <t>전체/부분 처리 정책 명확, 실패 객실과 성공 객실 반환, 조용한 누락 없음</t>
  </si>
  <si>
    <t>DBAPI-N-010</t>
  </si>
  <si>
    <t>업체 주소·연락처를 수정하고 재조회</t>
  </si>
  <si>
    <t>저장값을 seed/로딩 보정이 덮어쓰지 않음, 세 화면에서 동일</t>
  </si>
  <si>
    <t>수납·정산·지출·마감</t>
  </si>
  <si>
    <t>DBAPI-F-001</t>
  </si>
  <si>
    <t>객실료+부가서비스 Folio에 현금 수납 등록</t>
  </si>
  <si>
    <t>Payment 1건, Folio paid/balance 정확, 3통화 원금 보존</t>
  </si>
  <si>
    <t>DBAPI-F-002</t>
  </si>
  <si>
    <t>잔액 0 Folio를 목록에서 `정산 완료`</t>
  </si>
  <si>
    <t>목록에서 상태만 변경되고 상세 팝업 자동 오픈 없음. Folio completed 1회</t>
  </si>
  <si>
    <t>DBAPI-F-003</t>
  </si>
  <si>
    <t>완료 Folio 상세를 새로 열기</t>
  </si>
  <si>
    <t>완료 일시·담당자·처리 이력 표시, 버튼은 `정산 미완료로 변경` 또는 권한에 따라 미노출</t>
  </si>
  <si>
    <t>DBAPI-F-004</t>
  </si>
  <si>
    <t>정산 미완료 전환→새로고침→다른 페이지→재조회</t>
  </si>
  <si>
    <t>Folio reopened 유지, 다시 `정산 완료` 가능, audit에 전후 상태·사유 기록</t>
  </si>
  <si>
    <t>DBAPI-F-005</t>
  </si>
  <si>
    <t>목록·상세에서 동일 Folio 상태 비교</t>
  </si>
  <si>
    <t>완료인데 `정산 필요`로 표시되는 불일치 0건, 버튼과 badge가 상태 기반</t>
  </si>
  <si>
    <t>DBAPI-F-006</t>
  </si>
  <si>
    <t>PHP·USD·KRW 결제·환불 처리 이력 조회</t>
  </si>
  <si>
    <t>각 원 통화·금액 표시, PHP로 강제 변환하거나 서로 합산하지 않음</t>
  </si>
  <si>
    <t>DBAPI-F-007</t>
  </si>
  <si>
    <t>동일 수납 요청 재전송 및 응답 timeout 후 재시도</t>
  </si>
  <si>
    <t>Payment 1건, 잔액 한 번만 감소, idempotency 결과 반환</t>
  </si>
  <si>
    <t>DBAPI-F-008</t>
  </si>
  <si>
    <t>두 사용자가 남은 잔액을 동시에 전액 수납</t>
  </si>
  <si>
    <t>초과 수납 방지 또는 명시된 overpayment 처리, balance 음수 오류 없음</t>
  </si>
  <si>
    <t>DBAPI-F-009</t>
  </si>
  <si>
    <t>비품 구매 PHP 현금, USD 카드, KRW 현금 등록</t>
  </si>
  <si>
    <t>ExpensePurchase와 통화 정확, 현금 건만 CashTransaction 생성</t>
  </si>
  <si>
    <t>DBAPI-F-010</t>
  </si>
  <si>
    <t>비품 구매 수정·삭제 후 목록·KPI·시재 재조회</t>
  </si>
  <si>
    <t>수정 delta만 반영, 삭제 정책대로 reversal 생성, KPI와 시재 복원</t>
  </si>
  <si>
    <t>DBAPI-F-011</t>
  </si>
  <si>
    <t>TEN-QA-PH와 TEN-QA-VN에서 신규 지출 통화 선택</t>
  </si>
  <si>
    <t>PH는 PHP·USD·KRW, VN은 VND·USD·KRW 규칙. 기준 통화 강제 혼용 없음</t>
  </si>
  <si>
    <t>DBAPI-F-012</t>
  </si>
  <si>
    <t>기간 `이번 달`, 사용자 지정 D-7~D0을 선택 후 조회</t>
  </si>
  <si>
    <t>조회 버튼 전 결과 불변, 요청 from/to 표시, KPI·목록 동일 범위</t>
  </si>
  <si>
    <t>DBAPI-F-013</t>
  </si>
  <si>
    <t>객실 수납·현금 부가서비스·현금 지출 후 일일 마감</t>
  </si>
  <si>
    <t>시작 시재+입금-출금=마감 시재, 지출은 음수, 상세 버튼에서 원장 확인</t>
  </si>
  <si>
    <t>DBAPI-F-014</t>
  </si>
  <si>
    <t>마감 transaction 중 closing 저장 실패 주입</t>
  </si>
  <si>
    <t>CashSession·DailyClosing 모두 rollback, 재시도 가능, 중복 마감 없음</t>
  </si>
  <si>
    <t>DBAPI-F-015</t>
  </si>
  <si>
    <t>이미 마감된 D0에 추가 지출/수납 시도</t>
  </si>
  <si>
    <t>정책대로 차단 또는 조정 마감 생성, 기존 마감 수치 조용히 변경 금지</t>
  </si>
  <si>
    <t>DBAPI-F-016</t>
  </si>
  <si>
    <t>정산 완료 후 객실 청소 상태와 예약 현황 재조회</t>
  </si>
  <si>
    <t>정산 상태가 예약 상태를 덮어쓰지 않음. 완료/체크아웃/청소 상태 각각 독립</t>
  </si>
  <si>
    <t>직원·CRM·설정·Admin·감사 로그</t>
  </si>
  <si>
    <t>DBAPI-S-001</t>
  </si>
  <si>
    <t>직원 신규 등록과 편집에 동일 필드 입력: 전화·주소·입사일·퇴사일·역할·상태</t>
  </si>
  <si>
    <t>create/update schema 일치, StaffUser 1건, 날짜·연락처 유지</t>
  </si>
  <si>
    <t>DBAPI-S-002</t>
  </si>
  <si>
    <t>상태를 근무 중→휴직→퇴직으로 변경하고 각 상태에서 로그인</t>
  </si>
  <si>
    <t>휴직·퇴직 로그인 차단, 기존 세션 정책 적용, 감사 기록</t>
  </si>
  <si>
    <t>DBAPI-S-003</t>
  </si>
  <si>
    <t>역할 변경 후 메뉴 권한·정산취소·부가서비스취소 실행</t>
  </si>
  <si>
    <t>메뉴 권한과 기능 권한을 API가 각각 검증, 허용 범위 일치</t>
  </si>
  <si>
    <t>DBAPI-S-004</t>
  </si>
  <si>
    <t>직원 편집·삭제 버튼, 날짜 picker, 저장·취소를 마우스/터치로 실행</t>
  </si>
  <si>
    <t>단일 요청, 호버 재렌더/깜빡임 없음, 취소 시 저장 0건</t>
  </si>
  <si>
    <t>DBAPI-S-005</t>
  </si>
  <si>
    <t>고객 등록→예약 연결→CRM 수정→예약 상세 조회</t>
  </si>
  <si>
    <t>Guest ID 동일, 예약별 snapshot 정책 준수, 이력 기록</t>
  </si>
  <si>
    <t>DBAPI-S-006</t>
  </si>
  <si>
    <t>VIP 등급 변경 후 이력 월 필터와 다운로드 확인</t>
  </si>
  <si>
    <t>변경 월·이전/신규 등급·사유 일치, 다운로드와 DB 행 수 일치</t>
  </si>
  <si>
    <t>DBAPI-S-007</t>
  </si>
  <si>
    <t>Admin에서 tenant 상태 중지/재활성화 후 PMS 접근</t>
  </si>
  <si>
    <t>중지 시 API 접근 차단, 데이터 보존, 재활성화 후 동일 tenant 복구</t>
  </si>
  <si>
    <t>DBAPI-S-008</t>
  </si>
  <si>
    <t>Admin 공지·광고 등록/수정/비활성화 후 PMS 조회</t>
  </si>
  <si>
    <t>대상 tenant·기간·언어 조건 일치, 존재하지 않는 업체 상세 팝업 미노출</t>
  </si>
  <si>
    <t>DBAPI-S-009</t>
  </si>
  <si>
    <t>호텔 기준 통화·언어·타임존 설정 변경 후 새 세션</t>
  </si>
  <si>
    <t>허용 항목만 반영, 기존 금액 원 통화 불변, 표시·업무일만 정책대로 변경</t>
  </si>
  <si>
    <t>DBAPI-S-010</t>
  </si>
  <si>
    <t>예약·객실이동·부가 되돌리기·정산 되돌리기·직원 변경 후 감사 조회</t>
  </si>
  <si>
    <t>모든 mutation에 audit 1건, 화면명은 URL이 아닌 메뉴명, 대상·전후 값 정확</t>
  </si>
  <si>
    <t>DBAPI-S-011</t>
  </si>
  <si>
    <t>영어에서 API가 반환한 상태·오류·빈 상태·감사 동작 조회</t>
  </si>
  <si>
    <t>영문 라벨만 표시, `filter.reserved`와 한글 혼용 없음</t>
  </si>
  <si>
    <t>DBAPI-S-012</t>
  </si>
  <si>
    <t>한글 사용자 입력 업체명·메모를 영어/한국어로 왕복</t>
  </si>
  <si>
    <t>입력 원문과 DB 값 불변, UI 라벨만 번역</t>
  </si>
  <si>
    <t>Admin 입점·승인·계정 활성화·PMS 연계</t>
  </si>
  <si>
    <t>DBAPI-ADM-001</t>
  </si>
  <si>
    <t>신규 호텔 `QA Onboarding Hotel {RUN_ID}`과 미사용 이메일로 입점 신청</t>
  </si>
  <si>
    <t>TenantApplication 1건이 `pending`으로 생성되고 신청번호 반환. Tenant·StaffUser·로그인 세션은 아직 0건</t>
  </si>
  <si>
    <t>DBAPI-ADM-002</t>
  </si>
  <si>
    <t>호텔명·국가·도시·객실 수·요금제·기준 통화·담당자·전화·이메일의 필수값, 길이, 형식을 각각 위반</t>
  </si>
  <si>
    <t>필드별 4xx와 오류 코드 반환, 신청 데이터 부분 저장 0건</t>
  </si>
  <si>
    <t>DBAPI-ADM-003</t>
  </si>
  <si>
    <t>같은 이메일/호텔 코드로 신청을 동시에 2회 제출</t>
  </si>
  <si>
    <t>유일성 규칙에 따라 1건만 생성, 나머지는 409. 중복 tenant와 관리자 계정 없음</t>
  </si>
  <si>
    <t>DBAPI-ADM-004</t>
  </si>
  <si>
    <t>신청 시 입력한 자격 증명으로 승인 전 PMS 로그인</t>
  </si>
  <si>
    <t>403 `TENANT_PENDING_APPROVAL`, 세션·refresh token 발급 없음. 평문 비밀번호는 신청 테이블·응답·로그에 없음</t>
  </si>
  <si>
    <t>DBAPI-ADM-005</t>
  </si>
  <si>
    <t>Admin 신청 목록·대시보드 KPI에서 신규 신청 검색</t>
  </si>
  <si>
    <t>동일 applicationId·호텔명·담당자·신청 시각·`pending` 상태가 표시되고 KPI가 정확히 +1</t>
  </si>
  <si>
    <t>DBAPI-ADM-006</t>
  </si>
  <si>
    <t>Admin 신청 상세를 열어 원 신청과 대조</t>
  </si>
  <si>
    <t>국가·통화·객실 수·요금제·연락처가 신청값과 일치하고 비밀번호·credential hash는 화면/응답에서 제외</t>
  </si>
  <si>
    <t>DBAPI-ADM-007</t>
  </si>
  <si>
    <t>권한 있는 Admin이 사유를 입력해 신청 반려</t>
  </si>
  <si>
    <t>상태 `rejected`, 사유·처리자·처리 시각 저장, tenant/user 생성 0건, 신청자 알림 생성</t>
  </si>
  <si>
    <t>DBAPI-ADM-008</t>
  </si>
  <si>
    <t>반려된 신청의 계정으로 로그인</t>
  </si>
  <si>
    <t>403 `TENANT_APPLICATION_REJECTED`, 반려 사유 확인 경로 제공, 세션 없음</t>
  </si>
  <si>
    <t>DBAPI-ADM-009</t>
  </si>
  <si>
    <t>반려 사유를 보완해 같은 신청을 재제출</t>
  </si>
  <si>
    <t>revision 또는 이전 applicationId 연결 이력 보존, 상태 `pending`, 활성 신청은 1건, 반려 이력 삭제 금지</t>
  </si>
  <si>
    <t>DBAPI-ADM-010</t>
  </si>
  <si>
    <t>권한 있는 Admin이 pending 신청 승인</t>
  </si>
  <si>
    <t>단일 transaction으로 Tenant·TenantSetting·계약/요금제·최초 Tenant Admin·역할/권한·활성화 정보 생성, application `approved`</t>
  </si>
  <si>
    <t>DBAPI-ADM-011</t>
  </si>
  <si>
    <t>동일 승인 버튼을 연속 클릭하고 같은 요청을 재전송</t>
  </si>
  <si>
    <t>같은 tenantId/userId 반환, Tenant·관리자 계정·계약 각 1건, 승인 감사 로그 1건</t>
  </si>
  <si>
    <t>DBAPI-ADM-012</t>
  </si>
  <si>
    <t>승인 transaction 중 최초 관리자 생성 실패 주입</t>
  </si>
  <si>
    <t>신청은 `pending` 유지, Tenant·설정·계약 포함 전체 rollback, 재시도 가능</t>
  </si>
  <si>
    <t>DBAPI-ADM-013</t>
  </si>
  <si>
    <t>승인 직후 신청 목록·호텔 목록·Admin 상세·알림을 재조회</t>
  </si>
  <si>
    <t>신청 `approved`, 호텔 `active`, 동일 tenantId, 승인 처리자·시각 표시, 신청자 승인 알림 1건</t>
  </si>
  <si>
    <t>DBAPI-ADM-014</t>
  </si>
  <si>
    <t>승인된 최초 관리자 계정으로 PMS 로그인</t>
  </si>
  <si>
    <t>tenantId가 포함된 session 발급, 해당 PMS 대시보드로 이동, 다른 tenant 데이터 0건</t>
  </si>
  <si>
    <t>DBAPI-ADM-015</t>
  </si>
  <si>
    <t>최초 로그인 후 호텔명·언어·타임존·기준 통화·객실 기본 설정을 저장하고 재로그인</t>
  </si>
  <si>
    <t>TenantSetting에 저장되고 PMS와 Admin tenant 상세가 동일. 기존 업무 데이터의 원 통화는 변경되지 않음</t>
  </si>
  <si>
    <t>DBAPI-ADM-016</t>
  </si>
  <si>
    <t>Admin의 직접 호텔 등록으로 tenant와 최초 관리자 초대 생성</t>
  </si>
  <si>
    <t>Tenant는 `active`, 사용자는 `invited`, 1회용 활성화 token과 만료 시각 생성, 임시 비밀번호 평문 저장 없음</t>
  </si>
  <si>
    <t>DBAPI-ADM-017</t>
  </si>
  <si>
    <t>활성화/비밀번호 설정 token을 정상·재사용·만료 상태로 실행</t>
  </si>
  <si>
    <t>정상 1회만 계정 `active`, 재사용/만료는 4xx, 새 token 발급 시 이전 token 무효화</t>
  </si>
  <si>
    <t>DBAPI-ADM-018</t>
  </si>
  <si>
    <t>Admin에서 tenant 중지→기존 PMS 세션 호출→새 로그인→재활성화</t>
  </si>
  <si>
    <t>중지 즉시 기존/신규 접근 차단, 데이터 보존, 재활성화 후 동일 tenant와 계정으로 로그인 가능</t>
  </si>
  <si>
    <t>DBAPI-ADM-019</t>
  </si>
  <si>
    <t>Admin 공지를 초안→특정 호텔 대상으로 게시→읽음→만료/게시 취소</t>
  </si>
  <si>
    <t>초안은 PMS 미노출, 대상 tenant만 기간·언어에 맞게 노출, read receipt 저장, 만료/취소 후 캐시에서도 제거</t>
  </si>
  <si>
    <t>DBAPI-ADM-020</t>
  </si>
  <si>
    <t>Admin 광고를 초안→대상/기간/노출 위치 설정→게시→수정→일시중지/종료</t>
  </si>
  <si>
    <t>대상 tenant에만 이미지·제목·상세 링크가 일치, 비대상/기간 외 미노출, 수정 즉시 cache invalidation, 중지 후 빈 팝업 없음</t>
  </si>
  <si>
    <t>DBAPI-ADM-021</t>
  </si>
  <si>
    <t>광고 계약·노출·문의 데이터를 생성하고 Admin 광고 과금/청구 조회</t>
  </si>
  <si>
    <t>campaignId·tenantId별 계약 금액·노출·문의·청구 상태가 대사되고 중복 과금 없음</t>
  </si>
  <si>
    <t>DBAPI-ADM-022</t>
  </si>
  <si>
    <t>PMS에서 지원 문의 등록→Admin 배정·답변·상태 변경→PMS 재조회</t>
  </si>
  <si>
    <t>ticketId와 대화 순서 보존, 양쪽 상태 일치, 대상 tenant 외 접근 차단, 알림 1회</t>
  </si>
  <si>
    <t>DBAPI-ADM-023</t>
  </si>
  <si>
    <t>읽기 전용 Admin과 타 tenant 관리자가 승인·반려·중지·공지/광고 게시 API 직접 호출</t>
  </si>
  <si>
    <t>모두 403, DB 변경·알림·감사 성공 로그 없음, 거부 감사 로그는 정책대로 기록</t>
  </si>
  <si>
    <t>DBAPI-ADM-024</t>
  </si>
  <si>
    <t>신청·반려·재신청·승인·최초 로그인·설정·공지·광고·문의·중지 전 과정을 감사 조회</t>
  </si>
  <si>
    <t>actor·action·applicationId·tenantId·before/after·timestamp가 순서대로 연결되고 비밀번호/token/민감 연락처 원문 없음</t>
  </si>
  <si>
    <t>DBAPI-ADM-025</t>
  </si>
  <si>
    <t>PMS 미사용 파트너 유형으로 입점 신청·승인·로그인</t>
  </si>
  <si>
    <t>PartnerAccount/PartnerProperty로 생성되고 `/partner`로 이동. PMS Tenant·Room·Folio는 생성하지 않으며 Admin에서 유형 구분</t>
  </si>
  <si>
    <t>동시성·장애·성능·보안·대용량</t>
  </si>
  <si>
    <t>DBAPI-Q-001</t>
  </si>
  <si>
    <t>mutation 응답을 8초 지연하고 저장 버튼 반복 클릭</t>
  </si>
  <si>
    <t>버튼 busy/비활성, 1건 저장, timeout 후 상태 재조회 제공</t>
  </si>
  <si>
    <t>DBAPI-Q-002</t>
  </si>
  <si>
    <t>예약 저장 중 네트워크 끊김 후 같은 idempotency key 재전송</t>
  </si>
  <si>
    <t>결과를 확정적으로 조회, 중복 예약·Folio 없음</t>
  </si>
  <si>
    <t>DBAPI-Q-003</t>
  </si>
  <si>
    <t>오래된 version으로 예약·직원·업체 수정</t>
  </si>
  <si>
    <t>409 optimistic lock, 최신 값 안내, 타 사용자 변경 덮어쓰기 없음</t>
  </si>
  <si>
    <t>DBAPI-Q-004</t>
  </si>
  <si>
    <t>예약 10만 건, 고객 5만 건, 감사 로그 100만 건 fixture에서 조회</t>
  </si>
  <si>
    <t>서버 페이지네이션·인덱스 사용, 전체 행 브라우저 전송 없음</t>
  </si>
  <si>
    <t>DBAPI-Q-005</t>
  </si>
  <si>
    <t>예약 현황 1,000회 표본의 API 응답 시간 측정</t>
  </si>
  <si>
    <t>p95 ≤1.5초, p99 ≤2.5초, 5xx 0.1% 미만</t>
  </si>
  <si>
    <t>DBAPI-Q-006</t>
  </si>
  <si>
    <t>배포 페이지 콜드 로드 30회 측정</t>
  </si>
  <si>
    <t>데스크톱 usable ≤3초, 태블릿 ≤4초, 동일 초기 API 중복 호출 없음</t>
  </si>
  <si>
    <t>DBAPI-Q-007</t>
  </si>
  <si>
    <t>목록 page 1→10→뒤로가기, 필터 변경, 새로고침</t>
  </si>
  <si>
    <t>page/filter 상태 정책대로 유지, 중복·누락·카운트 불일치 없음</t>
  </si>
  <si>
    <t>DBAPI-Q-008</t>
  </si>
  <si>
    <t>IDOR: URL/body의 tenantId, userId, reservationId 교체</t>
  </si>
  <si>
    <t>403/404, 타 tenant 데이터와 다운로드 노출 0건</t>
  </si>
  <si>
    <t>DBAPI-Q-009</t>
  </si>
  <si>
    <t>메모·검색·이름에 SQL/XSS payload 입력</t>
  </si>
  <si>
    <t>parameterized query, 저장/표시 escape, script 실행·SQL 오류 없음</t>
  </si>
  <si>
    <t>DBAPI-Q-010</t>
  </si>
  <si>
    <t>100개 동시 목록 요청과 20개 동시 mutation</t>
  </si>
  <si>
    <t>connection pool 고갈·deadlock 없음, 실패는 명시적 재시도 가능 오류</t>
  </si>
  <si>
    <t>DBAPI-Q-011</t>
  </si>
  <si>
    <t>DB 일시 장애 30초 후 복구</t>
  </si>
  <si>
    <t>5xx를 성공으로 표시하지 않음, 자동 재시도는 read에 제한, 복구 후 정상 조회</t>
  </si>
  <si>
    <t>DBAPI-Q-012</t>
  </si>
  <si>
    <t>API 구버전/신버전 혼재 배포 동안 조회·저장</t>
  </si>
  <si>
    <t>하위 호환 또는 명시적 버전 오류, 필드 유실 저장 없음</t>
  </si>
  <si>
    <t>DBAPI-Q-013</t>
  </si>
  <si>
    <t>한국어↔영어 변경 직후 메뉴 이동과 modal 오픈</t>
  </si>
  <si>
    <t>첫 paint부터 선택 언어, 한글이 먼저 보였다가 영어로 바뀌는 현상 없음</t>
  </si>
  <si>
    <t>DBAPI-Q-014</t>
  </si>
  <si>
    <t>태블릿 가로·세로에서 표, modal, select, date picker, 카드 액션 실행</t>
  </si>
  <si>
    <t>가로 스크롤 정책 외 가림 없음, 터치 대상 정상, 모바일 전용 재배치 없음</t>
  </si>
  <si>
    <t>DBAPI-Q-015</t>
  </si>
  <si>
    <t>24시간 경과·자정 전후에 D0 필터와 업무일 전환</t>
  </si>
  <si>
    <t>tenant 업무일 기준, 날짜 하루 밀림·이전 업무일 캐시 잔존 없음</t>
  </si>
  <si>
    <t>E2E</t>
  </si>
  <si>
    <t>필수 E2E</t>
  </si>
  <si>
    <t>E2E-DBAPI-001</t>
  </si>
  <si>
    <t>개인 고객 전체 사이클</t>
  </si>
  <si>
    <t>TD-ROOM-CLEAN에 D0~D+2 예약을 생성한다. / 고객과 동반 투숙객을 연결하고 D0에 체크인한다. / POS·골프·렌터카·음식점·기타를 각 1건 등록한다. / 현금과 카드로 나누어 수납한다. / D+1 대신 D0에 조기 체크아웃한다. / 정산 완료 후 청소 상태를 확인하고 청소 완료 처리한다.</t>
  </si>
  <si>
    <t>예약은 checked_out이며 no-show가 아니다. 객실은 vacant/clean, Folio balance=0, 5개 부가서비스와 결제 이력이 보존되고 고객 이력·감사 로그가 연결된다.</t>
  </si>
  <si>
    <t>E2E-DBAPI-002</t>
  </si>
  <si>
    <t>청소·점검 차단과 복구</t>
  </si>
  <si>
    <t>청소 필요 객실의 예약 경고에서 취소와 계속을 각각 실행한다. / 점검 ticket을 생성하고 예약·체크인을 차단한다. / ticket 완료 후 청소 필요를 확인하고 청소 완료로 전환한다. / 같은 객실 예약과 체크인을 재시도한다.</t>
  </si>
  <si>
    <t>차단 중 저장 0건, 복구 후 1건. 상태 전환 순서와 감사 로그가 일치한다.</t>
  </si>
  <si>
    <t>E2E-DBAPI-003</t>
  </si>
  <si>
    <t>단체 행사 전체 사이클</t>
  </si>
  <si>
    <t>단체 업체와 행사를 만들고 3실을 배정한다. / 대표·동반·미배정 투숙객을 연결한다. / 체크인 후 동일 골프·렌터카 서비스와 개별 POS를 등록한다. / 객실별 수납과 단체 정산을 완료한다. / 통계에서 해당 기간을 조회한다.</t>
  </si>
  <si>
    <t>객실·투숙객 없는 배정에는 서비스가 없고, 객실/서비스/총액이 Folio와 통계에서 일치한다.</t>
  </si>
  <si>
    <t>E2E-DBAPI-004</t>
  </si>
  <si>
    <t>지출·시재·일일 마감</t>
  </si>
  <si>
    <t>현금 PHP 지출, 카드 USD 지출, 현금 KRW 지출을 등록한다. / 현금 수납과 환불을 등록한다. / 시재 상세를 조회하고 일일 마감한다. / 지출 1건을 수정/취소해야 하는 경우 조정 정책을 실행한다.</t>
  </si>
  <si>
    <t>통화별 원금이 분리되고 현금만 시재에 반영된다. 마감 합계와 원장이 일치하며 과거 마감이 조용히 변경되지 않는다.</t>
  </si>
  <si>
    <t>E2E-DBAPI-005</t>
  </si>
  <si>
    <t>정산·부가서비스 되돌리기 권한</t>
  </si>
  <si>
    <t>관리자와 프런트 계정으로 각각 정산 완료/미완료, 부가서비스 완료/미완료를 시도한다. / 역할 기능 권한을 변경하고 재로그인 후 반복한다.</t>
  </si>
  <si>
    <t>화면과 API 권한이 일치하고 허용된 변경만 저장된다. 모든 성공 전환은 감사 로그에 남는다.</t>
  </si>
  <si>
    <t>E2E-DBAPI-006</t>
  </si>
  <si>
    <t>Admin→PMS 연결</t>
  </si>
  <si>
    <t>Admin에서 tenant 정보·공지·광고·상태를 변경한다. / 대상 PMS와 비대상 PMS에서 재조회한다. / tenant를 중지·재활성화한다.</t>
  </si>
  <si>
    <t>대상 조건, 캐시 무효화, 접근 차단, 재활성화가 일치하며 다른 tenant에 노출되지 않는다.</t>
  </si>
  <si>
    <t>E2E-DBAPI-007</t>
  </si>
  <si>
    <t>네트워크 실패·중복 제출 복구</t>
  </si>
  <si>
    <t>예약, 부가서비스, 수납, 비품 구매 각각에서 응답 지연→중복 클릭→오프라인→재접속을 실행한다.</t>
  </si>
  <si>
    <t>각 업무 데이터는 1건만 존재하고 사용자는 최종 성공/실패 상태를 확인할 수 있다.</t>
  </si>
  <si>
    <t>E2E-DBAPI-008</t>
  </si>
  <si>
    <t>다국어·통화·타임존 왕복</t>
  </si>
  <si>
    <t>TEN-QA-PH와 TEN-QA-VN에서 같은 시나리오를 한국어와 영어로 실행한다. / 언어 변경 후 새로고침·메뉴 이동·modal 재오픈을 수행한다. / D0 자정 경계에서 예약·지출·감사 시각을 비교한다.</t>
  </si>
  <si>
    <t>사용자 입력은 불변, 라벨과 오류만 번역, 기준 통화와 업무일은 tenant 설정을 따른다.</t>
  </si>
  <si>
    <t>E2E-DBAPI-009</t>
  </si>
  <si>
    <t>호텔 가입부터 PMS 첫 업무까지</t>
  </si>
  <si>
    <t>공개 입점 신청 화면에서 QA Onboarding Hotel {RUN_ID}을 신청한다. / 승인 전 로그인 차단과 Admin 신청 목록/KPI 반영을 확인한다. / Admin이 상세 내용을 검토하고 승인한다. / 신청자가 계정을 활성화하고 PMS에 최초 로그인한다. / 호텔명·언어·타임존·통화·객실을 설정한 뒤 고객과 예약 1건을 등록한다.</t>
  </si>
  <si>
    <t>applicationId·tenantId·관리자 userId·sessionId·첫 reservationId가 한 흐름으로 연결된다. 승인 전에는 PMS 데이터가 없고, 승인 후에는 해당 tenant 데이터만 접근 가능하다.</t>
  </si>
  <si>
    <t>E2E-DBAPI-010</t>
  </si>
  <si>
    <t>입점 반려·보완·재신청·승인</t>
  </si>
  <si>
    <t>필수 정보가 부족한 신청을 Admin에서 구체적 사유로 반려한다. / 신청자는 사유를 확인하고 정보를 보완해 재신청한다. / Admin은 변경 내용을 비교한 뒤 승인한다. / 신청자는 활성화 및 PMS 로그인을 완료한다.</t>
  </si>
  <si>
    <t>반려 이력과 revision이 보존되며 활성 신청·tenant·최초 관리자 계정은 각각 1건이다.</t>
  </si>
  <si>
    <t>E2E-DBAPI-011</t>
  </si>
  <si>
    <t>Admin 공지 게시부터 PMS 읽음까지</t>
  </si>
  <si>
    <t>Admin이 한국어/영어 공지를 초안으로 저장한다. / 신규 승인 호텔만 대상으로 기간을 설정해 게시한다. / 대상/비대상 PMS에서 노출을 비교하고 대상 호텔에서 상세를 읽는다. / 게시를 취소하거나 만료시킨 뒤 다시 조회한다.</t>
  </si>
  <si>
    <t>대상·언어·기간 조건과 read receipt가 정확하며 비대상 노출과 게시 취소 후 잔존 캐시는 0건이다.</t>
  </si>
  <si>
    <t>E2E-DBAPI-012</t>
  </si>
  <si>
    <t>Admin 광고 계약·게시·노출·중지</t>
  </si>
  <si>
    <t>광고주/캠페인과 계약 정보를 등록하고 초안 상태를 확인한다. / 서비스 유형·대상 호텔·게시 기간·노출 위치를 지정해 게시한다. / PMS 대시보드에서 광고 상세를 열고 문의를 등록한다. / Admin에서 조회·문의·과금을 대조하고 광고를 일시중지한다.</t>
  </si>
  <si>
    <t>초안/비대상/기간 외에는 미노출이고, 게시 데이터·상세·문의·과금이 같은 campaignId로 연결된다. 중지 후 빈 상세 팝업은 나타나지 않는다.</t>
  </si>
  <si>
    <t>E2E-DBAPI-013</t>
  </si>
  <si>
    <t>PMS 문의와 Admin 고객지원 왕복</t>
  </si>
  <si>
    <t>PMS 관리자가 문의와 첨부를 등록한다. / Admin 담당자가 배정·답변·상태 변경을 수행한다. / PMS 관리자가 답변을 확인하고 추가 답변 후 종료한다.</t>
  </si>
  <si>
    <t>양쪽의 대화 순서·첨부·상태·알림이 일치하고 전체 이력이 tenant 격리와 감사 로그를 만족한다.</t>
  </si>
  <si>
    <t>E2E-DBAPI-014</t>
  </si>
  <si>
    <t>Tenant 중지·재활성화 운영 통제</t>
  </si>
  <si>
    <t>활성 PMS 세션이 있는 상태에서 Admin이 tenant를 중지한다. / 기존 API 호출과 새 로그인을 각각 시도한다. / Admin이 재활성화하고 다시 로그인해 기존 예약·정산을 조회한다.</t>
  </si>
  <si>
    <t>중지 즉시 접근은 차단되지만 데이터는 보존되고, 재활성화 후 동일 tenant 데이터가 복구된다.</t>
  </si>
  <si>
    <t>E2E-DBAPI-015</t>
  </si>
  <si>
    <t>PMS 미사용 호텔의 파트너 포털 분기</t>
  </si>
  <si>
    <t>PMS 미사용 유형으로 입점 신청하고 Admin이 승인한다. / 파트너 계정을 활성화해 별도 포털에 로그인한다. / 숙소·상품·가격·재고·예약·정산 기능을 사용한다. / PMS URL과 PMS 전용 API 접근을 시도한다.</t>
  </si>
  <si>
    <t>PartnerAccount/PartnerProperty에만 연결되고 PMS 운영 기능은 403 또는 미노출이다. Admin에서는 PMS tenant와 구분해 관리된다.</t>
  </si>
  <si>
    <t>기존 PMS 회귀</t>
  </si>
  <si>
    <t>기존 PMS 핵심 회귀</t>
  </si>
  <si>
    <t>P1-AUTH-001</t>
  </si>
  <si>
    <t>근무 중 계정 로그인</t>
  </si>
  <si>
    <t>입력: 이메일 desk@hotel.example, 비밀번호 password123! /
절차: 로그아웃 상태에서 로그인 페이지를 연다. / 이메일과 비밀번호를 실제 입력하고 로그인 버튼을 누른다. / 예약 현황으로 이동한다. / 새로고침 후 로그인 상태를 확인한다. /</t>
  </si>
  <si>
    <t>로그인 후 예약 현황이 열리고 사용자명은 Sarah Connor, 역할은 프론트 데스크로 표시된다. / 허용된 메뉴만 표시되고 권한 없는 설정 메뉴는 숨김 또는 접근 차단된다. / 새로고침 후 세션이 유지된다. /</t>
  </si>
  <si>
    <t>P1-AUTH-002</t>
  </si>
  <si>
    <t>휴직·퇴직 계정 로그인 차단</t>
  </si>
  <si>
    <t>입력: p1.leave@hotel.example / P1-Process-2026!, p1.retired@hotel.example / P1-Process-2026! /
절차: 각 계정으로 로그인 버튼을 누르고 오류 메시지와 세션 생성을 확인한다. /</t>
  </si>
  <si>
    <t>휴직 계정은 휴직 중인 계정은 로그인할 수 없습니다. 의미의 안내 후 로그인되지 않는다. / 퇴직 계정도 로그인되지 않는다. / 대시보드 URL 직접 접근 시 로그인 페이지로 돌아온다. /</t>
  </si>
  <si>
    <t>P1-STAFF-001</t>
  </si>
  <si>
    <t>직원 신규 등록·편집·역할·상태·삭제</t>
  </si>
  <si>
    <t>입력: 이름 P1 Staff Test, 사번 P1-0720, 이메일 p1.staff@example.com / 전화 +63 917 000 7001, 주소 Manila Test Address / 입사일 2026-07-01, 퇴사일 공란, 역할 프론트 데스크, 상태 근무 중 / 비밀번호와 비밀번호 확인 P1-Process-2026! /
절차: 직원 등록 버튼을 누르고 모든 값을 입력해 저장한다. / 목록에서 생성 행과 모든 표시값을 확인한다. / 편집 버튼을 눌러 전화번호, 주소, 역할을 총괄 매니저로 변경해 저장한다. / 새로고침 후 변경값을 확인한다. / 상태를 휴직으로 변경하고 해당 계정 로그인을 시도한다. / 다시 관리자 계정으로 로그인해 상태를 퇴직, 퇴사일 2026-07-20으로 변경한다. / 삭제 버튼을 눌러 정책에 따른 확인창과 결과를 확인한다. /</t>
  </si>
  <si>
    <t>신규와 편집 폼의 필드 구성과 검증 규칙이 동일하다. / 비밀번호 불일치 시 저장되지 않고, 일치 시 저장된다. / 역할 변경 후 목록의 역할과 접근 권한 수가 즉시 갱신된다. / 휴직·퇴직 상태에서는 로그인할 수 없다. / 삭제 가능한 테스트 직원이면 삭제되고, 이력 때문에 삭제 불가하면 명확한 이유가 표시된다. /</t>
  </si>
  <si>
    <t>P1-DASH-001</t>
  </si>
  <si>
    <t>KPI에서 예약 현황 필터로 이동</t>
  </si>
  <si>
    <t>입력: 검색어 없음, KPI 금일 체크인 -&gt; 투숙 중 -&gt; 체크아웃 -&gt; 예약 예정 순서 /
절차: 대시보드의 금일 체크인, 투숙 중, 체크아웃, 예약 예정 KPI 숫자를 기록한다. / 각 KPI를 눌러 연결된 예약 현황 필터로 이동한다. / 필터 배지 숫자, 실제 카드 수, 예약 목록의 동일 필터 건수를 비교한다. /</t>
  </si>
  <si>
    <t>KPI, 예약 현황 배지, 실제 카드 수, 예약 목록 건수가 같은 정의를 사용한다. / 완료된 체크아웃은 투숙 중이나 레이트에 중복 집계되지 않는다. /</t>
  </si>
  <si>
    <t>P1-RES-VIEW-001</t>
  </si>
  <si>
    <t>전체·상태별 필터의 동일 카드 표현</t>
  </si>
  <si>
    <t>입력: 검색어 공란, 상태 필터를 전체부터 명시된 순서로 한 번씩 클릭 /
절차: 전체에서 각 fixture 카드를 캡처한다. / 투숙 중, 체크아웃, 체크아웃 완료, 레이트, 청소 필요, 객실 변경 필터를 차례로 선택한다. / 동일 예약의 상태 배지, 카드 테두리, 고객·기간·금액·청소 상태를 비교한다. /</t>
  </si>
  <si>
    <t>같은 예약은 어느 필터에서 보더라도 상태와 색상, 데이터가 동일하다. / 체크아웃 완료 예약은 레이트로 표시되지 않는다. / 청소 상태 셀렉트의 같은 값은 예약 상태와 무관하게 같은 색상을 사용한다. / 필터 배지 수와 실제 고유 예약 카드 수가 일치한다. /</t>
  </si>
  <si>
    <t>P1-RES-VIEW-002</t>
  </si>
  <si>
    <t>객실 변경 카운트와 실제 카드 수</t>
  </si>
  <si>
    <t>입력: 검색어 공란, 필터 객실 변경 /
절차: 객실 변경 필터 배지 숫자를 기록하고 표시된 고유 예약번호를 센다. /</t>
  </si>
  <si>
    <t>배지가 2면 서로 다른 예약 2건이 표시된다. 한 예약의 이전/현재 객실을 두 건으로 중복 계산하지 않는다. /</t>
  </si>
  <si>
    <t>P1-RES-NEW-001</t>
  </si>
  <si>
    <t>청소 완료 공실의 정상 예약</t>
  </si>
  <si>
    <t>입력: 고객 P1 Clean Guest, 이메일 p1.res.clean@example.com, 전화 +63 917 000 7101 / 체크인 2026-07-10 14:00, 체크아웃 2026-07-11 12:00 / 객실 PH01, 1박, 객실료 PHP 900 /
절차: 예약 현황에서 PH01 카드를 눌러 신규 예약을 연다. / 모달 객실 기본값이 PH01인지 확인한다. / 고객을 신규 등록하고 날짜·시간·금액을 입력한다. / 저장하고 토스트, 카드 상태, 예약번호를 기록한다. / 새로고침 후 PH01 카드와 상세를 다시 연다. / 예약 목록과 타임라인에서 같은 예약번호를 찾는다. /</t>
  </si>
  <si>
    <t>클릭한 객실 PH01이 다른 객실로 바뀌지 않는다. / 경고 없이 한 번 저장되고 동일 예약이 중복 생성되지 않는다. / 새로고침 후 PH01은 예약 예정이며 고객, 기간, 금액이 유지된다. / 예약 목록과 타임라인의 객실·기간·고객·상태가 동일하다. /</t>
  </si>
  <si>
    <t>P1-RES-NEW-002</t>
  </si>
  <si>
    <t>청소 필요 공실 예약 경고 취소·계속·저장 유지</t>
  </si>
  <si>
    <t>입력: 고객 P1 Dirty Guest, 이메일 p1.res.dirty@example.com / 체크인 2026-07-10 14:00, 체크아웃 2026-07-11 12:00, 객실 1203 /
절차: 전체 필터에서 1203 카드를 눌러 신규 예약을 연다. / 객실 셀렉트가 1203인지 확인한다. / 고객·일정을 입력하고 저장한다. / 청소 필요 경고에서 취소를 누른다. / 모달과 입력값이 유지되고 예약이 생성되지 않았는지 확인한다. / 다시 저장하고 경고에서 계속을 누른다. / 성공 후 1203 카드, 예약번호, 상태를 확인한다. / 새로고침하고 예약 상세, 목록, 타임라인을 확인한다. /</t>
  </si>
  <si>
    <t>모달 기본 객실은 반드시 1203이며 1228 등 다른 객실로 바뀌지 않는다. / 취소 경로에서는 저장 0건, 계속 경로에서는 저장 1건이다. / 저장 후에도 객실은 1203이며 청소 상태는 자동으로 청소 완료가 되지 않는다. / 재조회와 연계 화면에서 같은 예약번호가 1203에 표시된다. /</t>
  </si>
  <si>
    <t>P1-RES-NEW-003</t>
  </si>
  <si>
    <t>점검/수리 중 객실 예약 차단</t>
  </si>
  <si>
    <t>입력: P1 Maintenance Guest, 2026-07-10 ~ 2026-07-11, 객실 1215 /
절차: 1215 카드에서 예약을 시도하고 저장 확인창을 처리한다. /</t>
  </si>
  <si>
    <t>점검/수리 중 객실은 예약할 수 없습니다. 의미의 안내가 나온다. / 예약이 생성되지 않고 1215는 점검 상태를 유지한다. / 잘못된 안내인 체크인할 수 없습니다가 예약 저장 과정에 나오지 않는다. /</t>
  </si>
  <si>
    <t>P1-RES-NEW-004</t>
  </si>
  <si>
    <t>중복 일정 예약 차단</t>
  </si>
  <si>
    <t>입력: P1 Overlap Guest, 2026-07-10 15:00 ~ 2026-07-11 12:00, 객실 1210 /
절차: 신규 예약 모달에서 1210을 선택하고 저장한다. /</t>
  </si>
  <si>
    <t>충돌 예약번호 또는 기간이 포함된 안내 후 저장되지 않는다. 기존 Anh Nguyen 예약은 변경되지 않는다. /</t>
  </si>
  <si>
    <t>P1-RES-NEW-005</t>
  </si>
  <si>
    <t>날짜·시간 유효성 검증</t>
  </si>
  <si>
    <t>입력: 체크아웃이 체크인보다 이전 / 같은 날짜에서 체크아웃 시간이 체크인보다 이전 / 레이트 체크아웃 선택 후 기본 체크아웃보다 이전 시간 /
절차: 신규 예약 모달에서 달력 아이콘을 눌러 조합 1의 날짜를 선택하고 저장한다. / 날짜를 복원한 뒤 시간 선택 UI로 조합 2를 선택하고 저장한다. / 레이트 체크아웃을 체크하고 조합 3의 시간을 선택해 저장한다. / 각 시도 후 예약 목록에서 테스트 고객 검색 결과가 0건인지 확인한다. /</t>
  </si>
  <si>
    <t>각 조합은 해당 필드 가까이에 명확한 오류를 표시하고 저장되지 않는다. 날짜 입력은 실제 달력 UI 클릭으로 검증한다. /</t>
  </si>
  <si>
    <t>P1-RES-EDIT-001</t>
  </si>
  <si>
    <t>일정·금액·메모 수정과 연계 화면 반영</t>
  </si>
  <si>
    <t>입력: 체크아웃 2026-07-14, 객실료 PHP 560, 메모 P1 late arrival /
절차: 상세를 열어 날짜, 금액, 메모를 변경한다. / 저장 후 모달을 닫고 다시 연다. / 새로고침 후 예약 현황, 목록, 타임라인에서 값을 확인한다. /</t>
  </si>
  <si>
    <t>세 필드가 모두 저장되고 세 화면에 동일하게 반영된다. 수정 이력이 감사 로그에 한 건만 남는다. /</t>
  </si>
  <si>
    <t>P1-RES-CANCEL-001</t>
  </si>
  <si>
    <t>예약 취소와 객실 반환</t>
  </si>
  <si>
    <t>입력: 취소 사유 P1 process cancellation /
절차: 예약 상세에서 취소 버튼, 확인창, 사유 입력을 거쳐 취소한다. /</t>
  </si>
  <si>
    <t>예약 상태는 취소이고 취소/노쇼 필터에서 1건 증가한다. / 오늘 체크인, 투숙 중, 체크아웃 대상에서는 제거된다. / 해당 기간 객실은 신규 예약 가능 상태로 반환된다. / 감사 로그에 예약번호, 고객, 이전/변경 상태, 실행자가 기록된다. /</t>
  </si>
  <si>
    <t>P1-CHECKIN-001</t>
  </si>
  <si>
    <t>금일 정상 체크인</t>
  </si>
  <si>
    <t>입력: 오늘 체크인 필터, 객실 1210, 버튼 체크인 처리, 추가 요금·예치금 변경 없음 /
절차: 예약 현황의 오늘 체크인 필터에서 1210을 연다. / 대표·동반 투숙객을 확인하고 체크인 처리 버튼을 누른다. / 모달이 닫힌 뒤 카드 상태와 KPI를 확인한다. / 새로고침 후 상세, 목록, 타임라인을 확인한다. /</t>
  </si>
  <si>
    <t>점검 경고가 나오지 않는다. / 상태가 투숙 중으로 바뀌고 오늘 체크인은 1 감소, 투숙 중은 1 증가한다. / 같은 예약은 하나의 연속 일정으로 표시된다. / 감사 로그에 체크인 일시와 실행자가 기록된다. /</t>
  </si>
  <si>
    <t>P1-CHECKIN-002</t>
  </si>
  <si>
    <t>청소 필요 객실 체크인 경고</t>
  </si>
  <si>
    <t>입력: 첫 시도 경고 선택 취소, 두 번째 시도 경고 선택 계속 /
절차: 체크인 처리 후 경고에서 취소, 다시 시도 후 계속을 각각 실행한다. /</t>
  </si>
  <si>
    <t>취소 시 체크인되지 않고, 계속 시 권한이 있는 사용자만 체크인된다. 두 경로 모두 실제 상태와 카드가 일치한다. /</t>
  </si>
  <si>
    <t>P1-CHECKIN-003</t>
  </si>
  <si>
    <t>점검 객실과 미래 예약 체크인 차단</t>
  </si>
  <si>
    <t>입력: 점검 객실 예약의 체크인 처리, 미래 예약의 체크인 처리 /
절차: 점검 객실에 연결된 체크인 예정 상세를 열고 체크인 처리한다. / 안내를 닫고 예약 상태와 객실 상태를 다시 확인한다. / 미래 예약 상세를 열고 체크인 처리한다. / 안내를 닫고 오늘 체크인·투숙 중 KPI가 변하지 않았는지 확인한다. /</t>
  </si>
  <si>
    <t>점검 객실은 점검 사유로 차단된다. / 미래 예약은 아직 체크인일이 아니라는 이유로 차단된다. / 두 경우 모두 예약 상태와 KPI가 변하지 않는다. /</t>
  </si>
  <si>
    <t>P1-STAY-001</t>
  </si>
  <si>
    <t>객실 이동</t>
  </si>
  <si>
    <t>입력: 1201 -&gt; 1202, 사유 P1 room move /
절차: 1201 상세에서 객실을 1202로 변경해 저장한다. / 1201과 1202 카드 상태를 확인한다. / 객실 변경 필터, 목록, 타임라인, 감사 로그를 확인한다. / 새로고침 후 다시 확인한다. /</t>
  </si>
  <si>
    <t>예약번호는 유지되고 현재 객실만 1202로 변경된다. / 1201은 공실·청소 필요, 1202는 투숙 중이 된다. / 객실 변경 배지와 실제 고유 예약 수가 동일하다. / 타임라인은 이전 객실과 현재 객실 이력을 구분하되 중복 투숙으로 계산하지 않는다. /</t>
  </si>
  <si>
    <t>P1-STAY-002</t>
  </si>
  <si>
    <t>동반 투숙객 추가·대표 변경·삭제</t>
  </si>
  <si>
    <t>입력: 동반 P1 Companion, 전화 +63 917 000 7202 /
절차: 동반 추가, 대표 변경, 새로고침, 다시 기존 대표로 복원, 테스트 동반 삭제. /</t>
  </si>
  <si>
    <t>명단 수, 대표 배지, 고객 상세 탭, 플랫카드 인원 표기가 즉시 일치하며 새로고침 후 유지된다. /</t>
  </si>
  <si>
    <t>P1-STAY-003</t>
  </si>
  <si>
    <t>플랫카드 저장·미리보기·인쇄</t>
  </si>
  <si>
    <t>입력: 항공편 대한항공 KE469 /
절차: 체크인 예정 상세의 호실 옆 플랫카드 인쇄 버튼을 누른다. / 항공편을 타이핑하며 미리보기 실시간 반영을 확인한다. / 저장 후 모달을 닫고 다시 열어 값을 확인한다. / 인쇄 미리보기의 용지 방향과 배치를 확인한다. /</t>
  </si>
  <si>
    <t>버튼은 체크인 가능 상태에서만 표시된다. / Anh Nguyen 외 1명, 항공편, 호텔명이 모두 중앙 정렬된다. / 고객명은 상단 절반 영역의 큰 글자, 항공편과 호텔명은 하단에 배치된다. / A4 가로 기준이며 화면 미리보기와 인쇄 결과가 동일하다. /</t>
  </si>
  <si>
    <t>P1-CHECKOUT-001</t>
  </si>
  <si>
    <t>미수금 수납 후 체크아웃</t>
  </si>
  <si>
    <t>입력: 잔액 전액, 결제수단 현금, 통화 PHP /
절차: 정산 상세에서 미수금과 청구 항목을 확인한다. / 수납 등록 후 합계, 수납액, 미수금을 확인한다. / 예약 상세에서 체크아웃 처리한다. / 예약 현황, 정산 현황, 객실 상태, 일일 마감 시재를 확인한다. /</t>
  </si>
  <si>
    <t>미수금이 0이 된 뒤 체크아웃이 성공한다. / 예약 상태는 체크아웃 완료, 객실 운영 상태는 공실·청소 필요가 된다. / 체크아웃 완료 예약이 투숙 중이나 레이트에 남지 않는다. / 현금 수납은 일일 마감 현금 입금에 한 번 반영된다. /</t>
  </si>
  <si>
    <t>P1-CHECKOUT-002</t>
  </si>
  <si>
    <t>미수금이 남은 체크아웃 차단</t>
  </si>
  <si>
    <t>입력: 수납액 0, 체크아웃 버튼 클릭, 강제 처리 선택 없음 /
절차: 수납 없이 체크아웃 처리한다. /</t>
  </si>
  <si>
    <t>미수금과 필요한 조치를 명시한 안내 후 상태가 변하지 않는다. 권한으로 강제 처리 가능한 경우에는 별도 확인과 감사 로그가 필요하다. /</t>
  </si>
  <si>
    <t>P1-CHECKOUT-003</t>
  </si>
  <si>
    <t>체크아웃 완료와 공실의 역할 분리</t>
  </si>
  <si>
    <t>입력: 필터 체크아웃 완료, 이어서 필터 공실, 검색어 1203 /
절차: 체크아웃 완료 필터와 공실 필터를 각각 확인한다. /</t>
  </si>
  <si>
    <t>체크아웃 완료는 과거 예약 상태 이력을 보여준다. / 공실은 현재 객실 운영 상태를 보여준다. / 같은 객실이 체크아웃 완료 이력과 현재 공실 상태를 가질 수 있으나 카운트 정의가 명시되고 서로 대체되지 않는다. / 완료 예약은 레이트가 아니다. /</t>
  </si>
  <si>
    <t>P1-GROUP-001</t>
  </si>
  <si>
    <t>단체 업체 등록·편집·삭제 제약</t>
  </si>
  <si>
    <t>입력: P1 Travel Company, 코드 P1-COMP-0720, 유형 여행사, 담당자 P1 Manager, 할인 10%, 정산 방식 후불 /
절차: 등록, 새로고침, 편집, 이벤트 1건 연결 후 삭제 시도, 이벤트 정리 후 삭제 재시도. /</t>
  </si>
  <si>
    <t>사용자 입력 단체명은 언어 변경이나 재조회로 자동 번역되지 않는다. / 연결 이벤트가 있으면 삭제 불가 이유가 표시된다. / 연결 데이터가 없으면 삭제 가능하고 목록과 검색에서 제거된다. /</t>
  </si>
  <si>
    <t>P1-GROUP-002</t>
  </si>
  <si>
    <t>단체 이벤트 생성·객실 배정·저장</t>
  </si>
  <si>
    <t>입력: 이벤트 P1 Group Event, 2026-07-10 ~ 2026-07-12, 객실 0802·0803, 할인 10% /
절차: 이벤트 생성, 객실 2실 추가, 각 요금 확인, 저장, 재조회. /</t>
  </si>
  <si>
    <t>배정 객실 수 2, 최종 요금이 할인식과 일치하고 같은 객실이 중복 배정되지 않는다. /</t>
  </si>
  <si>
    <t>P1-GROUP-003</t>
  </si>
  <si>
    <t>투숙객 명단 등록과 객실 연결</t>
  </si>
  <si>
    <t>입력: 0802 대표 P1 Group Primary, 0803 대표 P1 Group Primary 2, 0802 동반 P1 Group Companion /
절차: 명단 등록, 대표/동반 지정, 저장, 예약 타임라인과 예약 현황 확인. /</t>
  </si>
  <si>
    <t>투숙객 없는 객실은 미배정이고 부가서비스가 표시되지 않는다. 투숙객 등록 후 각 객실에 정확한 대표가 표시된다. /</t>
  </si>
  <si>
    <t>P1-GROUP-004</t>
  </si>
  <si>
    <t>단체 통계 기간 필터와 합계</t>
  </si>
  <si>
    <t>입력: 전체, 최근 1년, 사용자 지정 2026-07-01 ~ 2026-07-31 /
절차: 단체 카드의 거래 통계를 열고 기간을 실제 달력으로 선택한다. /</t>
  </si>
  <si>
    <t>단체 선택 셀렉트는 없고 진입한 단체가 고정된다. / 기간 변경 시 KPI, 기간 요약, 상세 거래가 동시에 갱신된다. / 객실, 통합 POS, 골프장, 렌터카, 음식점, 기타 및 총합의 열 합계와 행 합계가 일치한다. / 상세 거래의 텍스트가 셀을 넘지 않는다. /</t>
  </si>
  <si>
    <t>P1-HK-001</t>
  </si>
  <si>
    <t>청소 상태 변경의 전 화면 동기화</t>
  </si>
  <si>
    <t>입력: 상태 청소 필요 -&gt; 청소 중 -&gt; 청소 완료, 객실 1203 /
절차: 예약 현황에서 청소 필요 -&gt; 청소 중 -&gt; 청소 완료로 변경하고 하우스키핑, 객실 관리, 예약 현황을 각각 재조회한다. /</t>
  </si>
  <si>
    <t>세 화면이 동일 상태와 동일 색상을 표시하고 새로고침 후 유지된다. 상태 변경마다 감사 로그가 1건씩 기록된다. /</t>
  </si>
  <si>
    <t>P1-MAINT-001</t>
  </si>
  <si>
    <t>시설 보수 생성·수정·완료·삭제와 객실 차단</t>
  </si>
  <si>
    <t>입력: 객실 1212, 유형 HVAC, 설명 P1 maintenance lifecycle 1212, 우선순위 긴급, 담당자 Kim Cheol-su /
절차: 티켓 생성, 편집, 예약 차단 확인, 완료 처리, 객실 예약 가능 확인, 삭제 정책 확인. /</t>
  </si>
  <si>
    <t>점검 중에는 예약·체크인이 차단되고 완료 후 차단이 해제된다. 전체 우선순위 셀렉트와 날짜 입력이 실제로 작동한다. /</t>
  </si>
  <si>
    <t>P1-ANC-001</t>
  </si>
  <si>
    <t>투숙객 없는 객실의 부가서비스 미노출</t>
  </si>
  <si>
    <t>입력: 검색어 0803, 필터 전체, 통합 POS, 골프장, 렌터카, 음식점, 기타 /
절차: 부가서비스 페이지의 전체 및 각 카테고리 필터를 확인한다. /</t>
  </si>
  <si>
    <t>객실 카드나 서비스 합계가 표시되지 않는다. 투숙객을 배정한 후에만 객실이 나타난다. /</t>
  </si>
  <si>
    <t>P1-ANC-002</t>
  </si>
  <si>
    <t>카테고리별 등록과 필터</t>
  </si>
  <si>
    <t>입력: 통합 POS PHP 100, 골프장 PHP 450, 렌터카 PHP 160, 음식점 PHP 260, 기타 PHP 80 /
절차: 각 항목을 하나씩 등록하고 전체 및 카테고리 필터를 확인한다. /</t>
  </si>
  <si>
    <t>배치 순서는 통합 POS, 골프장, 렌터카, 음식점, 기타이다. / 카테고리 필터에는 해당 서비스가 있는 객실만 표시되고 빈 카드는 나오지 않는다. / 카테고리 합계와 누적 이용금액은 정확한 합계를 표시한다. /</t>
  </si>
  <si>
    <t>P1-ANC-003</t>
  </si>
  <si>
    <t>완료 -&gt; 미완료 -&gt; 완료 상태 저장과 감사 로그</t>
  </si>
  <si>
    <t>입력: 주문 커플 스파 패키지 / PHP 320, 동작 미완료 전환 -&gt; 수락 -&gt; 완료 /
절차: 완료 항목에서 미완료 전환을 누른다. / 모달을 닫고 다시 열어 수락/완료 버튼 상태를 확인한다. / 페이지 새로고침 후 상태를 확인한다. / 감사 로그에서 주문번호와 이전/변경 상태를 확인한다. / 목록의 완료 버튼으로 다시 완료 처리하고, 모달이 자동으로 열리지 않는지 확인한다. /</t>
  </si>
  <si>
    <t>미완료 전환 후 수락 가능·완료 가능 상태가 유지된다. / 새로고침해도 다시 미완료 전환 버튼으로 되돌아가지 않는다. / 완료 처리는 목록에서 즉시 상태만 변경하며 상세 모달을 강제로 열지 않는다. / 두 전환 모두 감사 로그에 정확히 1건씩 기록된다. /</t>
  </si>
  <si>
    <t>P1-ANC-004</t>
  </si>
  <si>
    <t>골프·렌터카·음식점 바우처/쿠폰</t>
  </si>
  <si>
    <t>입력: 동일 골프 항목 2건, 렌터카 1건, 음식점 쿠폰 1건 /
절차: 등록, 다중 바우처 출력, 단일 출력, 미리보기와 인쇄 확인. /</t>
  </si>
  <si>
    <t>각 카테고리의 업체·항목·주소·연락처·전용 필드가 맞고 다른 카테고리 이미지나 양식을 재사용하지 않는다. 단일 건은 중간 선택 없이 바로 출력한다. /</t>
  </si>
  <si>
    <t>P1-FOLIO-001</t>
  </si>
  <si>
    <t>수납 등록·정산 완료·상세 재조회</t>
  </si>
  <si>
    <t>입력: PHP 전액 현금 수납 /
절차: 목록에서 수납 등록, 정산 완료, 상세 재진입, 새로고침, 처리 이력 확인. /</t>
  </si>
  <si>
    <t>목록의 정산 완료 버튼은 상태만 변경하고 상세 팝업을 자동으로 열지 않는다. / 완료 후 상세를 열면 상태 완료됨, 완료 일시, 담당자, 처리 이력이 표시된다. / 완료 상태에서는 정산 완료가 아니라 권한 보유자에게만 정산 미완료로 변경이 표시된다. /</t>
  </si>
  <si>
    <t>P1-FOLIO-002</t>
  </si>
  <si>
    <t>정산 미완료 전환과 감사 로그</t>
  </si>
  <si>
    <t>입력: 동작 정산 미완료로 변경, 확인창 확인, 변경 사유가 있으면 P1 reopen verification /
절차: 상세에서 정산 미완료로 변경, 재조회, 새로고침, 감사 로그 확인. /</t>
  </si>
  <si>
    <t>상태가 수납/정산 필요로 유지되고 완료 버튼이 다시 표시된다. 감사 로그에는 folio 번호, 고객/객실, 이전/변경 상태, 실행자가 기록된다. /</t>
  </si>
  <si>
    <t>P1-EXP-001</t>
  </si>
  <si>
    <t>비품 구매 등록·수정·삭제와 KPI·시재 반영</t>
  </si>
  <si>
    <t>입력: 일자 2026-07-10, 구분 기름값, 항목 P1 Expense Fuel / 구매처 Shell Station P1, 구매자 Nguyen Kim, 결제 현금, 통화 PHP, 금액 1,250, 메모 P1 receipt 0720 /
절차: 날짜 필터를 이번 달, 사용자 지정 기간으로 실제 선택한다. / 신규 등록 모달에서 값을 입력해 저장한다. / 목록과 KPI의 PHP 총 지출·현금 지출·건수 변화를 확인한다. / 편집 버튼으로 금액을 1,350, 메모를 변경해 저장한다. / 새로고침 후 값과 KPI를 확인한다. / 일일 마감의 현금 출금 내역에서 1,350을 확인한다. / 삭제하고 목록, KPI, 시재 원복을 확인한다. /</t>
  </si>
  <si>
    <t>편집·삭제 버튼이 실제 클릭되고 모달/확인창이 안정적으로 열린다. / PHP 호텔에서는 KPI 통화가 PHP, USD, KRW만 표시된다. / 현금 지출은 총 지출과 현금 지출, 일일 마감 출금에 1회 반영된다. / 삭제 후 세 위치에서 동시에 제거된다. /</t>
  </si>
  <si>
    <t>P1-EXP-002</t>
  </si>
  <si>
    <t>통화별 지출과 호텔 기준 통화</t>
  </si>
  <si>
    <t>입력: USD 10 카드 지출, KRW 10,000 계좌이체 지출 /
절차: USD 10 지출을 등록하고 목록·KPI를 확인한다. / KRW 10,000 지출을 등록하고 목록·KPI를 확인한다. / 통화 셀렉트와 KPI에 VND가 없는지 확인한다. / 별도 VND 호텔 fixture로 전환해 VND가 기본 통화로 표시되는지 확인한다. / PHP 호텔로 돌아와 두 테스트 지출을 삭제한다. /</t>
  </si>
  <si>
    <t>각 통화가 원 통화로 표시되고 PHP 호텔에 VND가 나타나지 않는다. 호텔 기준 통화를 VND로 설정한 별도 fixture에서만 VND가 표시된다. /</t>
  </si>
  <si>
    <t>P1-NIGHT-001</t>
  </si>
  <si>
    <t>시재 내역·현금 흐름·마감</t>
  </si>
  <si>
    <t>입력: 기준일 2026-07-10, 통화 PHP·USD·KRW, 버튼 시재 내역 보기, 현금입금 상세, 출금 상세, 마감 /
절차: 시재 내역 보기, 현금 입금 상세, 출금 상세, 마감 실행, 새로고침. /</t>
  </si>
  <si>
    <t>모든 상세 버튼이 실제 팝업 또는 목록을 연다. / 전일 마감 + 시작 시재 + 현금 입금 - 현금 출금 = 마감 보유액이 통화별로 일치한다. / 마감 후 중복 마감이 차단되고 마감 로그가 기록된다. /</t>
  </si>
  <si>
    <t>P1-GUEST-001</t>
  </si>
  <si>
    <t>고객 등록·수정·예약 연결</t>
  </si>
  <si>
    <t>입력: P1 Guest CRM, 전화 +63 917 000 7301, 이메일 p1.guest@example.com, 국적 Philippines /
절차: 고객 등록, 편집, 신규 예약에서 검색·선택, 투숙 이력 확인, 테스트 예약 취소 후 고객 삭제 정책 확인. /</t>
  </si>
  <si>
    <t>같은 이메일·전화로 중복 고객이 자동 생성되지 않고 예약과 고객 이력이 연결된다. /</t>
  </si>
  <si>
    <t>P1-PERM-001</t>
  </si>
  <si>
    <t>역할별 메뉴 권한과 기능 권한</t>
  </si>
  <si>
    <t>입력: 기능 권한 정산 취소, 부가서비스 취소 /
절차: 권한 설정에서 역할별 체크, 저장, 각 계정 재로그인, 정산/부가서비스 상세 확인. /</t>
  </si>
  <si>
    <t>기능 권한은 직원 목록이 아니라 권한 설정 화면에 있고, 저장된 역할에만 되돌리기 버튼이 표시·작동한다. /</t>
  </si>
  <si>
    <t>P1-AUDIT-001</t>
  </si>
  <si>
    <t>주요 변경 감사 로그 완전성</t>
  </si>
  <si>
    <t>입력: 검색어를 각 예약번호·주문번호·folio 번호로 순차 입력, 유형 전체 유형, 기간 금일 /
절차: 감사 로그에서 오늘/전체 유형으로 검색하고 각 이벤트를 대조한다. /</t>
  </si>
  <si>
    <t>화면명은 URL이 아니라 메뉴명으로 표시되며 일시, 직원, 동작, 대상, 관련 항목, 이전/변경값이 실제 변경과 일치한다. 동일 동작의 중복 로그가 없다. /</t>
  </si>
  <si>
    <t>P1-ADMIN-001</t>
  </si>
  <si>
    <t>PMS와 Admin 호텔·공지·이벤트 연결</t>
  </si>
  <si>
    <t>입력: 공지 제목 P1 Admin Link Notice, 이벤트명 P1 Admin Link Event, 대상 tenant The Grand Saigon /
절차: Admin 호텔 상세에서 tenant ID와 호텔명을 기록한다. / 해당 호텔 대상 공지와 이벤트를 입력해 저장한다. / Admin 목록을 새로고침해 저장값을 재조회한다. / PMS에서 공지사항과 대시보드 이벤트 노출을 확인한다. / Admin에서 두 항목을 삭제하고 PMS 재조회 결과를 확인한다. /</t>
  </si>
  <si>
    <t>동일 tenant ID를 사용하고 Admin 저장·삭제가 정의된 API 경로를 통해 PMS에 반영된다. 존재하지 않는 업체 광고를 클릭해 빈 상세 모달이 열리지 않는다. /</t>
  </si>
  <si>
    <t>코드 구분</t>
  </si>
  <si>
    <t>코드</t>
  </si>
  <si>
    <t>설명</t>
  </si>
  <si>
    <t>결과</t>
  </si>
  <si>
    <t>PASS</t>
  </si>
  <si>
    <t>API·DB·UI·감사·지속성 게이트 모두 충족</t>
  </si>
  <si>
    <t>FAIL</t>
  </si>
  <si>
    <t>예상 결과 또는 필수 게이트 중 하나 이상 불일치</t>
  </si>
  <si>
    <t>보류</t>
  </si>
  <si>
    <t>환경·외부 의존성 때문에 실행 불가</t>
  </si>
  <si>
    <t>아직 실행하지 않음</t>
  </si>
  <si>
    <t>데이터 유실·권한·중복·핵심 운영 차단</t>
  </si>
  <si>
    <t>주요 CRUD·상태·금액·연계 오류</t>
  </si>
  <si>
    <t>P2</t>
  </si>
  <si>
    <t>다국어·표시·카운트·레이아웃 오류</t>
  </si>
  <si>
    <t>P3</t>
  </si>
  <si>
    <t>경미한 문구·정렬</t>
  </si>
  <si>
    <t>수정 배포 후 동일 케이스 전체 절차 통과</t>
  </si>
  <si>
    <t>재현되거나 인접 회귀 실패</t>
  </si>
  <si>
    <t>수정 후 아직 재시험하지 않음</t>
  </si>
  <si>
    <t>단계</t>
  </si>
  <si>
    <t>데이터 연결</t>
  </si>
  <si>
    <t>Admin↔PMS</t>
  </si>
  <si>
    <t>applicationId → tenantId → adminUserId → sessionId</t>
  </si>
  <si>
    <t>noticeId → tenantId → readReceiptId</t>
  </si>
  <si>
    <t>advertiserId → campaignId → inquiryId</t>
  </si>
  <si>
    <t>ticketId → replyId → notificationId</t>
  </si>
  <si>
    <t>applicationId → PartnerAccount → PartnerProperty</t>
  </si>
  <si>
    <t>시나리오</t>
  </si>
  <si>
    <t>핵심 절차</t>
  </si>
  <si>
    <t>최종 기대 결과</t>
  </si>
  <si>
    <t>심각도</t>
  </si>
  <si>
    <t>결함 요약</t>
  </si>
  <si>
    <t>재현 절차</t>
  </si>
  <si>
    <t>수정 파일/내용</t>
  </si>
  <si>
    <t>재시험 결과</t>
  </si>
  <si>
    <t>담당자</t>
  </si>
  <si>
    <t>등록일</t>
  </si>
  <si>
    <t>완료일</t>
  </si>
  <si>
    <t>Page ID</t>
  </si>
  <si>
    <t>화면 경로</t>
  </si>
  <si>
    <t>제어 ID/라벨</t>
  </si>
  <si>
    <t>API Alias</t>
  </si>
  <si>
    <t>DB 엔티티</t>
  </si>
  <si>
    <t>관련 Case ID</t>
  </si>
  <si>
    <t>예상 연계</t>
  </si>
  <si>
    <t>비고</t>
  </si>
  <si>
    <t>PG-PMS-001</t>
  </si>
  <si>
    <t>PMS</t>
  </si>
  <si>
    <t>dashboard/index.html</t>
  </si>
  <si>
    <t>세션 분기, 로그인 이동</t>
  </si>
  <si>
    <t>IP-AUTH</t>
  </si>
  <si>
    <t>AUTH · StaffUser/Role/Session</t>
  </si>
  <si>
    <t>올바른 초기 경로와 언어</t>
  </si>
  <si>
    <t>PG-PMS-002</t>
  </si>
  <si>
    <t>dashboard/login.html</t>
  </si>
  <si>
    <t>이메일, 비밀번호, 로그인</t>
  </si>
  <si>
    <t>역할별 첫 화면, 휴직·퇴직 차단</t>
  </si>
  <si>
    <t>PG-PMS-003</t>
  </si>
  <si>
    <t>dashboard/dashboard.html</t>
  </si>
  <si>
    <t>KPI, 광고 배너·상세, 일정, 알림 링크</t>
  </si>
  <si>
    <t>IP-RES, IP-ADMIN</t>
  </si>
  <si>
    <t>RES · Reservation/Guest/Folio / ADMIN · TenantApplication/Notice/Campaign/Support</t>
  </si>
  <si>
    <t>DBAPI-ADM-*</t>
  </si>
  <si>
    <t>예약/정산 카운트와 연결 화면</t>
  </si>
  <si>
    <t>PG-PMS-004</t>
  </si>
  <si>
    <t>dashboard/notifications.html</t>
  </si>
  <si>
    <t>읽음, 전체 읽음, 필터, 링크 이동</t>
  </si>
  <si>
    <t>대상 업무 화면과 읽음 지속성</t>
  </si>
  <si>
    <t>PG-PMS-005</t>
  </si>
  <si>
    <t>dashboard/crm/guests.html</t>
  </si>
  <si>
    <t>검색, 등록, 상세, 수정, 삭제/차단, 이력</t>
  </si>
  <si>
    <t>IP-CRM</t>
  </si>
  <si>
    <t>GUEST · Guest/TierHistory</t>
  </si>
  <si>
    <t>예약 투숙객 선택과 고객 이력</t>
  </si>
  <si>
    <t>PG-PMS-006</t>
  </si>
  <si>
    <t>dashboard/crm/membership.html</t>
  </si>
  <si>
    <t>등급 기준, 혜택, 수정, 상태</t>
  </si>
  <si>
    <t>고객 상세와 멤버십 표시</t>
  </si>
  <si>
    <t>PG-PMS-007</t>
  </si>
  <si>
    <t>dashboard/crm/tier-history.html</t>
  </si>
  <si>
    <t>월 필터, 유형, 검색, 다운로드</t>
  </si>
  <si>
    <t>등급 변경 건수와 상세 이력</t>
  </si>
  <si>
    <t>PG-PMS-008</t>
  </si>
  <si>
    <t>dashboard/frontdesk/reservation-board.html</t>
  </si>
  <si>
    <t>상태 필터, 검색, 청소 선택, 신규 예약, 상세, 체크인, 플랫카드</t>
  </si>
  <si>
    <t>IP-RES, IP-ROOM</t>
  </si>
  <si>
    <t>RES · Reservation/Guest/Folio / ROOM · Room/RoomStatus</t>
  </si>
  <si>
    <t>DBAPI-R-*</t>
  </si>
  <si>
    <t>목록·타임라인·객실·정산·감사</t>
  </si>
  <si>
    <t>PG-PMS-009</t>
  </si>
  <si>
    <t>dashboard/frontdesk/reservation-list.html</t>
  </si>
  <si>
    <t>동일 카운트 필터, 검색, 정렬, 상세</t>
  </si>
  <si>
    <t>IP-RES</t>
  </si>
  <si>
    <t>RES · Reservation/Guest/Folio</t>
  </si>
  <si>
    <t>보드와 카운트·상태 일치</t>
  </si>
  <si>
    <t>PG-PMS-010</t>
  </si>
  <si>
    <t>dashboard/frontdesk/reservation-timeline.html</t>
  </si>
  <si>
    <t>날짜 이동, 오늘, 예약 블록, 그룹 블록</t>
  </si>
  <si>
    <t>IP-RES, IP-GROUP</t>
  </si>
  <si>
    <t>RES · Reservation/Guest/Folio / GROUP · GroupCompany/GroupEvent</t>
  </si>
  <si>
    <t>보드와 일정·색상·병합 일치</t>
  </si>
  <si>
    <t>PG-PMS-011</t>
  </si>
  <si>
    <t>dashboard/frontdesk/checkin.html</t>
  </si>
  <si>
    <t>금일 체크인, 투숙객, 객실, 체크인/차단</t>
  </si>
  <si>
    <t>보드 투숙 상태와 객실 점유</t>
  </si>
  <si>
    <t>PG-PMS-012</t>
  </si>
  <si>
    <t>dashboard/frontdesk/groups_companies.html</t>
  </si>
  <si>
    <t>업체 등록, 편집, 삭제 제약, 이벤트, 거래 통계</t>
  </si>
  <si>
    <t>IP-GROUP</t>
  </si>
  <si>
    <t>GROUP · GroupCompany/GroupEvent</t>
  </si>
  <si>
    <t>이벤트·정산·통계 합계</t>
  </si>
  <si>
    <t>PG-PMS-013</t>
  </si>
  <si>
    <t>dashboard/frontdesk/groups_blocks.html</t>
  </si>
  <si>
    <t>검색, 상태, 이벤트 생성·상세</t>
  </si>
  <si>
    <t>업체 카드와 이벤트 수</t>
  </si>
  <si>
    <t>PG-PMS-014</t>
  </si>
  <si>
    <t>dashboard/frontdesk/groups_block_detail.html</t>
  </si>
  <si>
    <t>개요, 객실 배정, 투숙객, 정산, 변경 이력</t>
  </si>
  <si>
    <t>IP-GROUP, IP-ROOM</t>
  </si>
  <si>
    <t>GROUP · GroupCompany/GroupEvent / ROOM · Room/RoomStatus</t>
  </si>
  <si>
    <t>예약·타임라인·정산·감사</t>
  </si>
  <si>
    <t>PG-PMS-015</t>
  </si>
  <si>
    <t>dashboard/operations/rooms.html</t>
  </si>
  <si>
    <t>객실 필터, 상태, 상세, 점유 정보</t>
  </si>
  <si>
    <t>IP-ROOM</t>
  </si>
  <si>
    <t>ROOM · Room/RoomStatus</t>
  </si>
  <si>
    <t>예약·청소·시설 상태 일치</t>
  </si>
  <si>
    <t>PG-PMS-016</t>
  </si>
  <si>
    <t>dashboard/operations/room-setup.html</t>
  </si>
  <si>
    <t>객실/유형/건물 등록·편집·삭제</t>
  </si>
  <si>
    <t>객실 관리와 예약 선택 목록</t>
  </si>
  <si>
    <t>PG-PMS-017</t>
  </si>
  <si>
    <t>dashboard/operations/housekeeping.html</t>
  </si>
  <si>
    <t>보기 전환, 우선순위, 담당자, 상태 변경</t>
  </si>
  <si>
    <t>IP-HK</t>
  </si>
  <si>
    <t>HK · HousekeepingTask/RoomStatus</t>
  </si>
  <si>
    <t>예약 보드 청소 색상·체크인 경고</t>
  </si>
  <si>
    <t>PG-PMS-018</t>
  </si>
  <si>
    <t>dashboard/operations/maintenance.html</t>
  </si>
  <si>
    <t>등록, 우선순위, 담당자, 수정, 완료, 삭제</t>
  </si>
  <si>
    <t>IP-MAINT</t>
  </si>
  <si>
    <t>MAINT · MaintenanceTicket/RoomStatus</t>
  </si>
  <si>
    <t>예약 차단·객실 점검 상태</t>
  </si>
  <si>
    <t>PG-PMS-019</t>
  </si>
  <si>
    <t>dashboard/operations/ancillary.html</t>
  </si>
  <si>
    <t>카테고리, 투숙객 필터, 상세, 등록, 완료/미완료</t>
  </si>
  <si>
    <t>IP-ANC</t>
  </si>
  <si>
    <t>ANC · Vendor/Item/Order</t>
  </si>
  <si>
    <t>정산·바우처·감사 로그</t>
  </si>
  <si>
    <t>PG-PMS-020</t>
  </si>
  <si>
    <t>dashboard/operations/ancillary-vendors.html</t>
  </si>
  <si>
    <t>업체·항목 카테고리, 등록·수정·삭제, 바우처 양식</t>
  </si>
  <si>
    <t>부가서비스 등록 선택값</t>
  </si>
  <si>
    <t>PG-PMS-021</t>
  </si>
  <si>
    <t>dashboard/operations/unified-pos.html</t>
  </si>
  <si>
    <t>POS 주문, 항목, 수량, 투숙객, 완료/취소</t>
  </si>
  <si>
    <t>부가서비스·정산·감사</t>
  </si>
  <si>
    <t>PG-PMS-022</t>
  </si>
  <si>
    <t>dashboard/operations/pos.html</t>
  </si>
  <si>
    <t>POS 업체·메뉴·주문</t>
  </si>
  <si>
    <t>통합 POS와 정산 분류</t>
  </si>
  <si>
    <t>PG-PMS-023</t>
  </si>
  <si>
    <t>dashboard/operations/golf.html</t>
  </si>
  <si>
    <t>골프 업체·항목·바우처</t>
  </si>
  <si>
    <t>부가서비스 골프 필터와 출력</t>
  </si>
  <si>
    <t>PG-PMS-024</t>
  </si>
  <si>
    <t>dashboard/operations/rentacar.html</t>
  </si>
  <si>
    <t>렌터카 업체·차종·바우처</t>
  </si>
  <si>
    <t>부가서비스 렌터카 필터와 출력</t>
  </si>
  <si>
    <t>PG-PMS-025</t>
  </si>
  <si>
    <t>dashboard/operations/room-service.html</t>
  </si>
  <si>
    <t>메뉴, 주문, 객실/투숙객, 상태</t>
  </si>
  <si>
    <t>부가서비스·정산 반영</t>
  </si>
  <si>
    <t>PG-PMS-026</t>
  </si>
  <si>
    <t>dashboard/operations/events.html</t>
  </si>
  <si>
    <t>이벤트 목록·상세·기간·상태</t>
  </si>
  <si>
    <t>IP-ADMIN</t>
  </si>
  <si>
    <t>ADMIN · TenantApplication/Notice/Campaign/Support</t>
  </si>
  <si>
    <t>대시보드 광고/이벤트 상세</t>
  </si>
  <si>
    <t>PG-PMS-027</t>
  </si>
  <si>
    <t>dashboard/operations/rates.html</t>
  </si>
  <si>
    <t>객실 유형, 기간, 요금, 저장</t>
  </si>
  <si>
    <t>신규 예약 기본 금액</t>
  </si>
  <si>
    <t>PG-PMS-028</t>
  </si>
  <si>
    <t>dashboard/operations/settlement-status.html</t>
  </si>
  <si>
    <t>상태 필터, 카드/행, 수납, 완료, 상세, 미완료 전환</t>
  </si>
  <si>
    <t>IP-FOLIO</t>
  </si>
  <si>
    <t>FOLIO · Folio/Payment/Refund</t>
  </si>
  <si>
    <t>Folio·객실 청소·감사 로그</t>
  </si>
  <si>
    <t>PG-PMS-029</t>
  </si>
  <si>
    <t>dashboard/operations/folio.html</t>
  </si>
  <si>
    <t>검색, 목록, 상세, 결제·환불·정산</t>
  </si>
  <si>
    <t>정산 현황과 처리 이력</t>
  </si>
  <si>
    <t>PG-PMS-030</t>
  </si>
  <si>
    <t>dashboard/operations/folio-chart.html</t>
  </si>
  <si>
    <t>기간, 통화, 카테고리, 차트</t>
  </si>
  <si>
    <t>IP-FOLIO, IP-EXP</t>
  </si>
  <si>
    <t>FOLIO · Folio/Payment/Refund / EXP · ExpensePurchase/CashTransaction</t>
  </si>
  <si>
    <t>Folio·지출 합계</t>
  </si>
  <si>
    <t>PG-PMS-031</t>
  </si>
  <si>
    <t>dashboard/operations/expense-purchases.html</t>
  </si>
  <si>
    <t>기간, 검색, 등록, 수정, 삭제, 통화</t>
  </si>
  <si>
    <t>IP-EXP</t>
  </si>
  <si>
    <t>EXP · ExpensePurchase/CashTransaction</t>
  </si>
  <si>
    <t>KPI·시재·마감·감사</t>
  </si>
  <si>
    <t>PG-PMS-032</t>
  </si>
  <si>
    <t>dashboard/operations/night-audit.html</t>
  </si>
  <si>
    <t>마감일, 시작 시재, 입금, 출금, 시재 내역, 마감</t>
  </si>
  <si>
    <t>IP-EXP, IP-FOLIO</t>
  </si>
  <si>
    <t>EXP · ExpensePurchase/CashTransaction / FOLIO · Folio/Payment/Refund</t>
  </si>
  <si>
    <t>closing log·지출·정산 합계</t>
  </si>
  <si>
    <t>PG-PMS-033</t>
  </si>
  <si>
    <t>dashboard/operations/closing-log.html</t>
  </si>
  <si>
    <t>기간, 마감 상세, 재조회</t>
  </si>
  <si>
    <t>night audit 결과 지속성</t>
  </si>
  <si>
    <t>PG-PMS-034</t>
  </si>
  <si>
    <t>dashboard/operations/reports.html</t>
  </si>
  <si>
    <t>기간, 보고서 종류, 다운로드</t>
  </si>
  <si>
    <t>전체 팩</t>
  </si>
  <si>
    <t>원천 화면 합계와 파일 값</t>
  </si>
  <si>
    <t>PG-PMS-035</t>
  </si>
  <si>
    <t>dashboard/settings/settings.html</t>
  </si>
  <si>
    <t>호텔 정보, 통화, 언어, 로고, 저장</t>
  </si>
  <si>
    <t>헤더·출력물·통화 선택</t>
  </si>
  <si>
    <t>PG-PMS-036</t>
  </si>
  <si>
    <t>dashboard/settings/staff.html</t>
  </si>
  <si>
    <t>직원 등록, 편집, 역할, 상태, 비밀번호, 삭제</t>
  </si>
  <si>
    <t>IP-STAFF</t>
  </si>
  <si>
    <t>STAFF · StaffUser/Role/Permission</t>
  </si>
  <si>
    <t>로그인·권한·구매자 목록</t>
  </si>
  <si>
    <t>PG-PMS-037</t>
  </si>
  <si>
    <t>dashboard/settings/roles.html</t>
  </si>
  <si>
    <t>역할, 메뉴 권한, 기능 권한, 저장</t>
  </si>
  <si>
    <t>역할별 메뉴·정산/부가 되돌리기</t>
  </si>
  <si>
    <t>PG-PMS-038</t>
  </si>
  <si>
    <t>dashboard/settings/billing.html</t>
  </si>
  <si>
    <t>결제 설정, 수단, 저장</t>
  </si>
  <si>
    <t>결제/정산 기본 설정</t>
  </si>
  <si>
    <t>PG-PMS-039</t>
  </si>
  <si>
    <t>dashboard/settings/audit-logs.html</t>
  </si>
  <si>
    <t>검색, 유형, 기간, 페이지네이션</t>
  </si>
  <si>
    <t>모든 변경 작업의 행·화면명</t>
  </si>
  <si>
    <t>PG-PMS-040</t>
  </si>
  <si>
    <t>dashboard/settings/notices.html</t>
  </si>
  <si>
    <t>공지 목록, 상세, 읽음</t>
  </si>
  <si>
    <t>Admin 공지와 표시 일치</t>
  </si>
  <si>
    <t>PG-PMS-041</t>
  </si>
  <si>
    <t>dashboard/settings/support.html</t>
  </si>
  <si>
    <t>문의 등록, 검색, 상태, 상세</t>
  </si>
  <si>
    <t>Admin helpdesk 연계</t>
  </si>
  <si>
    <t>PG-ADM-001</t>
  </si>
  <si>
    <t>Admin</t>
  </si>
  <si>
    <t>admin/index.html</t>
  </si>
  <si>
    <t>초기 세션 분기</t>
  </si>
  <si>
    <t>로그인 또는 대시보드 이동</t>
  </si>
  <si>
    <t>PG-ADM-002</t>
  </si>
  <si>
    <t>admin/login.html</t>
  </si>
  <si>
    <t>계정, 비밀번호, 로그인</t>
  </si>
  <si>
    <t>Admin 권한과 첫 화면</t>
  </si>
  <si>
    <t>PG-ADM-003</t>
  </si>
  <si>
    <t>admin/admin.html</t>
  </si>
  <si>
    <t>KPI, 테넌트·광고·문의 링크</t>
  </si>
  <si>
    <t>각 관리 목록 카운트</t>
  </si>
  <si>
    <t>PG-ADM-004</t>
  </si>
  <si>
    <t>admin/tenants/list.html</t>
  </si>
  <si>
    <t>검색, 상태, 상세, 등록</t>
  </si>
  <si>
    <t>호텔 등록·상태·PMS 연결</t>
  </si>
  <si>
    <t>PG-ADM-005</t>
  </si>
  <si>
    <t>admin/tenants/register.html</t>
  </si>
  <si>
    <t>호텔·관리자·계약 입력, 저장</t>
  </si>
  <si>
    <t>목록·상세·PMS 로그인</t>
  </si>
  <si>
    <t>PG-ADM-006</t>
  </si>
  <si>
    <t>admin/tenants/apply.html</t>
  </si>
  <si>
    <t>입점 신청, 검증, 제출</t>
  </si>
  <si>
    <t>테넌트 목록 신청 상태</t>
  </si>
  <si>
    <t>PG-ADM-007</t>
  </si>
  <si>
    <t>admin/tenants/detail.html</t>
  </si>
  <si>
    <t>기본정보, 상태, 계약, 사용자, 수정</t>
  </si>
  <si>
    <t>PMS 호텔 정보·접근 상태</t>
  </si>
  <si>
    <t>PG-ADM-008</t>
  </si>
  <si>
    <t>admin/ads/campaigns.html</t>
  </si>
  <si>
    <t>검색, 상태, 기간, 신규, 상세</t>
  </si>
  <si>
    <t>Dashboard 광고 노출</t>
  </si>
  <si>
    <t>PG-ADM-009</t>
  </si>
  <si>
    <t>admin/ads/new.html</t>
  </si>
  <si>
    <t>제목, 호텔, 이미지, 기간, 상세 콘텐츠, 저장</t>
  </si>
  <si>
    <t>캠페인 목록·PMS 상세 팝업</t>
  </si>
  <si>
    <t>PG-ADM-010</t>
  </si>
  <si>
    <t>admin/ads/detail.html</t>
  </si>
  <si>
    <t>보기, 편집, 상태, 삭제</t>
  </si>
  <si>
    <t>PMS 이벤트 상세와 변경 반영</t>
  </si>
  <si>
    <t>PG-ADM-011</t>
  </si>
  <si>
    <t>admin/ads/targeting.html</t>
  </si>
  <si>
    <t>대상 호텔, 조건, 저장</t>
  </si>
  <si>
    <t>대상/비대상 PMS 노출</t>
  </si>
  <si>
    <t>PG-ADM-012</t>
  </si>
  <si>
    <t>admin/ads/billing.html</t>
  </si>
  <si>
    <t>광고 청구, 기간, 상태</t>
  </si>
  <si>
    <t>캠페인 비용·정산 합계</t>
  </si>
  <si>
    <t>PG-ADM-013</t>
  </si>
  <si>
    <t>admin/system/users.html</t>
  </si>
  <si>
    <t>사용자 등록, 편집, 역할, 상태</t>
  </si>
  <si>
    <t>로그인·메뉴 권한</t>
  </si>
  <si>
    <t>PG-ADM-014</t>
  </si>
  <si>
    <t>admin/system/profile.html</t>
  </si>
  <si>
    <t>내 정보, 이메일, 비밀번호</t>
  </si>
  <si>
    <t>재로그인과 표시 정보</t>
  </si>
  <si>
    <t>PG-ADM-015</t>
  </si>
  <si>
    <t>admin/system/notices.html</t>
  </si>
  <si>
    <t>공지 등록, 수정, 삭제, 대상</t>
  </si>
  <si>
    <t>PMS 공지 목록·읽음</t>
  </si>
  <si>
    <t>PG-ADM-016</t>
  </si>
  <si>
    <t>admin/system/helpdesk.html</t>
  </si>
  <si>
    <t>문의 검색, 상세, 답변, 상태</t>
  </si>
  <si>
    <t>PMS 지원 문의 상태</t>
  </si>
  <si>
    <t>PG-ADM-017</t>
  </si>
  <si>
    <t>admin/system/integrations.html</t>
  </si>
  <si>
    <t>연동 설정, 활성화, 키 검증</t>
  </si>
  <si>
    <t>저장 지속성·오류 처리</t>
  </si>
  <si>
    <t>PG-ADM-018</t>
  </si>
  <si>
    <t>admin/system/billing.html</t>
  </si>
  <si>
    <t>플랫폼 청구, 수수료, 결제 상태</t>
  </si>
  <si>
    <t>테넌트 상세·광고 청구</t>
  </si>
  <si>
    <t>PG-ADM-019</t>
  </si>
  <si>
    <t>admin/system/audit-logs.html</t>
  </si>
  <si>
    <t>검색, 유형, 기간, 상세</t>
  </si>
  <si>
    <t>Admin 주요 변경 로그</t>
  </si>
  <si>
    <t>PMS DB·API 통합 테스트 실행 현황</t>
  </si>
  <si>
    <t>대상: PMS·Super Admin·DB·API 전체 연계 | 197개 케이스 | 생성일 2026-07-23 | 과거 결과 미이관</t>
  </si>
  <si>
    <t>전체 케이스</t>
  </si>
  <si>
    <t>실행률</t>
  </si>
  <si>
    <t>기능별 상태</t>
  </si>
  <si>
    <t>전체</t>
  </si>
  <si>
    <t>종합 판정</t>
  </si>
  <si>
    <t>건수</t>
  </si>
  <si>
    <t>판정 및 사용 원칙</t>
  </si>
  <si>
    <t>1. 상태 입력은 01_전체 케이스의 상태 열에서만 수행합니다.</t>
  </si>
  <si>
    <t>2. PASS는 API·DB·UI·감사 로그·새로고침 지속성 게이트를 모두 충족해야 합니다.</t>
  </si>
  <si>
    <t>3. 실패 수정 후에는 fixture 초기화부터 전체 절차를 재실행하고 수정 Commit과 증거를 남깁니다.</t>
  </si>
  <si>
    <t>4. 41개 기존 PMS 회귀와 15개 E2E도 각 행을 생략하지 않고 별도 판정합니다.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</si>
</sst>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i/>
      <sz val="10"/>
      <color rgb="FF64748B"/>
      <name val="맑은 고딕"/>
      <family val="3"/>
      <charset val="129"/>
      <scheme val="minor"/>
    </font>
    <font>
      <sz val="11"/>
      <color rgb="FF1D4ED8"/>
      <name val="맑은 고딕"/>
      <family val="3"/>
      <charset val="129"/>
      <scheme val="minor"/>
    </font>
    <font>
      <sz val="11"/>
      <color rgb="FF15803D"/>
      <name val="맑은 고딕"/>
      <family val="3"/>
      <charset val="129"/>
      <scheme val="minor"/>
    </font>
    <font>
      <sz val="11"/>
      <color rgb="FFB91C1C"/>
      <name val="맑은 고딕"/>
      <family val="3"/>
      <charset val="129"/>
      <scheme val="minor"/>
    </font>
    <font>
      <sz val="11"/>
      <color rgb="FFB45309"/>
      <name val="맑은 고딕"/>
      <family val="3"/>
      <charset val="129"/>
      <scheme val="minor"/>
    </font>
    <font>
      <sz val="11"/>
      <color rgb="FF475569"/>
      <name val="맑은 고딕"/>
      <family val="3"/>
      <charset val="129"/>
      <scheme val="minor"/>
    </font>
    <font>
      <sz val="11"/>
      <color rgb="FF6D28D9"/>
      <name val="맑은 고딕"/>
      <family val="3"/>
      <charset val="129"/>
      <scheme val="minor"/>
    </font>
    <font>
      <b/>
      <sz val="10"/>
      <color rgb="FF1D4ED8"/>
      <name val="맑은 고딕"/>
      <family val="3"/>
      <charset val="129"/>
      <scheme val="minor"/>
    </font>
    <font>
      <b/>
      <sz val="10"/>
      <color rgb="FF15803D"/>
      <name val="맑은 고딕"/>
      <family val="3"/>
      <charset val="129"/>
      <scheme val="minor"/>
    </font>
    <font>
      <b/>
      <sz val="10"/>
      <color rgb="FFB91C1C"/>
      <name val="맑은 고딕"/>
      <family val="3"/>
      <charset val="129"/>
      <scheme val="minor"/>
    </font>
    <font>
      <b/>
      <sz val="10"/>
      <color rgb="FFB45309"/>
      <name val="맑은 고딕"/>
      <family val="3"/>
      <charset val="129"/>
      <scheme val="minor"/>
    </font>
    <font>
      <b/>
      <sz val="10"/>
      <color rgb="FF475569"/>
      <name val="맑은 고딕"/>
      <family val="3"/>
      <charset val="129"/>
      <scheme val="minor"/>
    </font>
    <font>
      <b/>
      <sz val="10"/>
      <color rgb="FF6D28D9"/>
      <name val="맑은 고딕"/>
      <family val="3"/>
      <charset val="129"/>
      <scheme val="minor"/>
    </font>
    <font>
      <b/>
      <sz val="20"/>
      <color rgb="FF1D4ED8"/>
      <name val="맑은 고딕"/>
      <family val="3"/>
      <charset val="129"/>
      <scheme val="minor"/>
    </font>
    <font>
      <b/>
      <sz val="20"/>
      <color rgb="FF15803D"/>
      <name val="맑은 고딕"/>
      <family val="3"/>
      <charset val="129"/>
      <scheme val="minor"/>
    </font>
    <font>
      <b/>
      <sz val="20"/>
      <color rgb="FFB91C1C"/>
      <name val="맑은 고딕"/>
      <family val="3"/>
      <charset val="129"/>
      <scheme val="minor"/>
    </font>
    <font>
      <b/>
      <sz val="20"/>
      <color rgb="FFB45309"/>
      <name val="맑은 고딕"/>
      <family val="3"/>
      <charset val="129"/>
      <scheme val="minor"/>
    </font>
    <font>
      <b/>
      <sz val="20"/>
      <color rgb="FF475569"/>
      <name val="맑은 고딕"/>
      <family val="3"/>
      <charset val="129"/>
      <scheme val="minor"/>
    </font>
    <font>
      <b/>
      <sz val="20"/>
      <color rgb="FF6D28D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0"/>
      <color rgb="FF33415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33415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>
      <alignment vertical="center"/>
    </xf>
    <xf numFmtId="0" fontId="4" fillId="4" borderId="2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7" borderId="5" xfId="0" applyFont="1" applyFill="1" applyBorder="1">
      <alignment vertical="center"/>
    </xf>
    <xf numFmtId="0" fontId="7" fillId="7" borderId="2" xfId="0" applyFont="1" applyFill="1" applyBorder="1">
      <alignment vertical="center"/>
    </xf>
    <xf numFmtId="0" fontId="8" fillId="3" borderId="5" xfId="0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9" fillId="8" borderId="5" xfId="0" applyFont="1" applyFill="1" applyBorder="1">
      <alignment vertical="center"/>
    </xf>
    <xf numFmtId="0" fontId="9" fillId="8" borderId="8" xfId="0" applyFont="1" applyFill="1" applyBorder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9" fontId="21" fillId="8" borderId="4" xfId="0" applyNumberFormat="1" applyFont="1" applyFill="1" applyBorder="1" applyAlignment="1">
      <alignment horizontal="center" vertical="center"/>
    </xf>
    <xf numFmtId="9" fontId="21" fillId="8" borderId="7" xfId="0" applyNumberFormat="1" applyFont="1" applyFill="1" applyBorder="1" applyAlignment="1">
      <alignment horizontal="center" vertical="center"/>
    </xf>
    <xf numFmtId="0" fontId="22" fillId="0" borderId="0" xfId="0" applyFont="1" applyBorder="1">
      <alignment vertical="center"/>
    </xf>
    <xf numFmtId="9" fontId="22" fillId="0" borderId="0" xfId="0" applyNumberFormat="1" applyFont="1" applyBorder="1" applyAlignment="1">
      <alignment horizontal="center" vertical="center"/>
    </xf>
    <xf numFmtId="0" fontId="23" fillId="9" borderId="0" xfId="0" applyFont="1" applyFill="1">
      <alignment vertical="center"/>
    </xf>
    <xf numFmtId="0" fontId="25" fillId="0" borderId="0" xfId="0" applyFont="1" applyBorder="1" applyAlignment="1">
      <alignment vertical="center" wrapText="1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6" fillId="0" borderId="0" xfId="0" applyFont="1">
      <alignment vertical="center"/>
    </xf>
    <xf numFmtId="0" fontId="26" fillId="0" borderId="0" xfId="0" applyFont="1">
      <alignment vertical="center"/>
    </xf>
    <xf numFmtId="0" fontId="24" fillId="3" borderId="0" xfId="0" applyFont="1" applyFill="1" applyBorder="1" applyAlignment="1">
      <alignment vertical="center" wrapText="1"/>
    </xf>
    <xf numFmtId="0" fontId="24" fillId="3" borderId="9" xfId="0" applyFont="1" applyFill="1" applyBorder="1" applyAlignment="1">
      <alignment vertical="center" wrapText="1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 wrapText="1"/>
    </xf>
  </cellXfs>
  <cellStyles count="1">
    <cellStyle name="표준" xfId="0" builtinId="0"/>
  </cellStyles>
  <dxfs count="130">
    <dxf>
      <font>
        <b/>
        <i val="0"/>
        <color rgb="FF1E40AF"/>
      </font>
      <fill>
        <patternFill patternType="solid">
          <fgColor indexed="64"/>
          <bgColor rgb="FFDBEAFE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FFFFFF"/>
      </font>
      <fill>
        <patternFill patternType="solid">
          <fgColor indexed="64"/>
          <bgColor rgb="FF7F1D1D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475569"/>
      </font>
      <fill>
        <patternFill patternType="solid">
          <fgColor indexed="64"/>
          <bgColor rgb="FFE2E8F0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sz val="10"/>
        <name val="맑은 고딕"/>
        <family val="3"/>
        <charset val="129"/>
      </font>
      <alignment vertical="center" wrapText="1"/>
    </dxf>
    <dxf>
      <font>
        <sz val="10"/>
        <name val="맑은 고딕"/>
        <family val="3"/>
        <charset val="129"/>
      </font>
      <alignment vertical="center"/>
    </dxf>
    <dxf>
      <font>
        <sz val="10"/>
        <name val="맑은 고딕"/>
        <family val="3"/>
        <charset val="129"/>
      </font>
      <alignment vertical="center"/>
    </dxf>
    <dxf>
      <font>
        <sz val="10"/>
        <name val="맑은 고딕"/>
        <family val="3"/>
        <charset val="129"/>
      </font>
      <alignment vertical="center"/>
    </dxf>
    <dxf>
      <font>
        <sz val="10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vertical="center" wrapText="1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  <alignment horizontal="center"/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10"/>
        <name val="맑은 고딕"/>
        <family val="3"/>
        <charset val="129"/>
      </font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center" vertical="center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horizontal="general" vertical="center" textRotation="0" wrapText="1" indent="0" justifyLastLine="0" shrinkToFit="0" readingOrder="0"/>
    </dxf>
    <dxf>
      <font>
        <sz val="9"/>
        <name val="맑은 고딕"/>
        <family val="3"/>
        <charset val="129"/>
      </font>
      <alignment vertical="center"/>
    </dxf>
    <dxf>
      <font>
        <sz val="9"/>
        <name val="맑은 고딕"/>
        <family val="3"/>
        <charset val="129"/>
      </font>
      <alignment vertical="center"/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  <dxf>
      <border diagonalUp="0" diagonalDown="0">
        <left/>
        <right/>
        <top/>
        <bottom style="thin">
          <color rgb="FFE2E8F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전체 테스트 상태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'00_기능별 현황'!$O$3</c:f>
              <c:strCache>
                <c:ptCount val="1"/>
                <c:pt idx="0">
                  <c:v>건수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'00_기능별 현황'!$O$4:$O$7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'00_기능별 현황'!$N$4:$N$7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46-463A-9852-9A91886E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tStatusDistribution">
          <a:extLst>
            <a:ext uri="{FF2B5EF4-FFF2-40B4-BE49-F238E27FC236}">
              <a16:creationId xmlns:a16="http://schemas.microsoft.com/office/drawing/2014/main" id="{6EEE39E6-05D0-62F8-CBFF-CAF98D275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ABCD2-80B4-4750-B2B9-0517C70E8D0A}" name="tblFeatureSummary" displayName="tblFeatureSummary" ref="A10:H22" totalsRowShown="0" headerRowDxfId="91" dataDxfId="90" tableBorderDxfId="129">
  <autoFilter ref="A10:H22" xr:uid="{0DEABCD2-80B4-4750-B2B9-0517C70E8D0A}"/>
  <tableColumns count="8">
    <tableColumn id="1" xr3:uid="{A2BB53F9-AFC4-4EF2-B6B3-2A7E0DB55F25}" name="기능" dataDxfId="99"/>
    <tableColumn id="2" xr3:uid="{80EB284F-50EF-4896-B391-CE9FC223DBA7}" name="전체" dataDxfId="98">
      <calculatedColumnFormula>COUNTIF('01_전체 케이스'!$C$2:$C$198,A11)</calculatedColumnFormula>
    </tableColumn>
    <tableColumn id="3" xr3:uid="{5E921E74-9619-4761-843B-304CAA423679}" name="PASS" dataDxfId="97">
      <calculatedColumnFormula>COUNTIFS('01_전체 케이스'!$C$2:$C$198,A11,'01_전체 케이스'!$I$2:$I$198,"PASS")</calculatedColumnFormula>
    </tableColumn>
    <tableColumn id="4" xr3:uid="{AD04BD67-A017-4369-BC0E-254869DD0D51}" name="FAIL" dataDxfId="96">
      <calculatedColumnFormula>COUNTIFS('01_전체 케이스'!$C$2:$C$198,A11,'01_전체 케이스'!$I$2:$I$198,"FAIL")</calculatedColumnFormula>
    </tableColumn>
    <tableColumn id="5" xr3:uid="{F0956ECC-5C15-4E60-861C-28ABC4837475}" name="보류" dataDxfId="95">
      <calculatedColumnFormula>COUNTIFS('01_전체 케이스'!$C$2:$C$198,A11,'01_전체 케이스'!$I$2:$I$198,"보류")</calculatedColumnFormula>
    </tableColumn>
    <tableColumn id="6" xr3:uid="{7E4F02F1-AACB-44C4-B89A-6A75F76E07EE}" name="미실행" dataDxfId="94">
      <calculatedColumnFormula>COUNTIFS('01_전체 케이스'!$C$2:$C$198,A11,'01_전체 케이스'!$I$2:$I$198,"미실행")</calculatedColumnFormula>
    </tableColumn>
    <tableColumn id="7" xr3:uid="{DABA84B0-F0EE-4862-9B9C-1B43626BAA12}" name="실행률" dataDxfId="93">
      <calculatedColumnFormula>IFERROR((C11+D11+E11)/B11,0)</calculatedColumnFormula>
    </tableColumn>
    <tableColumn id="8" xr3:uid="{1EE91613-5FC8-4363-A0CA-6A70D2B70D34}" name="종합 판정" dataDxfId="92">
      <calculatedColumnFormula>IF(D11&gt;0,"FAIL",IF(C11=B11,"PASS",IF(F11=B11,"미실행","보류")))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9EADB-494C-4AB9-A2E1-15898FD3EDFB}" name="tblMasterCases" displayName="tblMasterCases" ref="A1:U198" totalsRowShown="0" headerRowDxfId="122" dataDxfId="121" tableBorderDxfId="128">
  <autoFilter ref="A1:U198" xr:uid="{3BD9EADB-494C-4AB9-A2E1-15898FD3EDFB}"/>
  <tableColumns count="21">
    <tableColumn id="1" xr3:uid="{A733CD1C-929C-47D7-853E-E716FA37671E}" name="No" dataDxfId="110"/>
    <tableColumn id="2" xr3:uid="{48AA37C8-48A5-4EE9-A4DB-1D24544E1FC4}" name="구분" dataDxfId="109"/>
    <tableColumn id="3" xr3:uid="{63D2DDA4-0E85-4776-B49C-4EE5D8B833A1}" name="기능" dataDxfId="108"/>
    <tableColumn id="4" xr3:uid="{F3EA790A-C217-4249-9BD9-FF33124509CE}" name="Case ID" dataDxfId="107"/>
    <tableColumn id="5" xr3:uid="{7C94EFC4-C1ED-419E-BE67-2F4D793A5A86}" name="우선순위" dataDxfId="106"/>
    <tableColumn id="6" xr3:uid="{6E2F02DB-FBC4-4093-ADEE-9A9EC2DD275D}" name="화면/흐름" dataDxfId="105"/>
    <tableColumn id="7" xr3:uid="{64860DD5-05BF-4111-A31B-B695220F8FFA}" name="입력·절차" dataDxfId="120"/>
    <tableColumn id="8" xr3:uid="{B84BC8D0-49F8-44C2-8153-9FA5BD88AED2}" name="예상 결과" dataDxfId="119"/>
    <tableColumn id="9" xr3:uid="{1B09904F-1DE8-424B-9AEE-CE61CA3BCC6E}" name="상태" dataDxfId="104"/>
    <tableColumn id="10" xr3:uid="{6069F487-74CC-4455-AC14-B5DC6762665E}" name="실행일시" dataDxfId="103"/>
    <tableColumn id="11" xr3:uid="{B1A1714D-0610-4291-B5D0-824C989CED25}" name="실행자" dataDxfId="102"/>
    <tableColumn id="12" xr3:uid="{CC30BB46-E003-4522-81F3-55BEEDD7F9B6}" name="실제 결과" dataDxfId="118"/>
    <tableColumn id="13" xr3:uid="{F2AA4215-0998-4565-836B-1D926975A188}" name="API 결과" dataDxfId="117"/>
    <tableColumn id="14" xr3:uid="{BFE218A1-8AD6-4105-BA13-E89156BAE7C7}" name="DB 결과" dataDxfId="116"/>
    <tableColumn id="15" xr3:uid="{FD2B0E82-CA36-4C71-8C88-B2F5177DB6AA}" name="감사 로그" dataDxfId="115"/>
    <tableColumn id="16" xr3:uid="{93E6C93A-4E25-46A2-AD6B-CCC9C7F63855}" name="결함 ID" dataDxfId="114"/>
    <tableColumn id="17" xr3:uid="{D58A8123-7655-4DF5-95CB-60F86467C4C9}" name="원인" dataDxfId="113"/>
    <tableColumn id="18" xr3:uid="{991E43F4-EE53-43F9-B5A3-4D3BAEEFD40E}" name="수정 내용" dataDxfId="112"/>
    <tableColumn id="19" xr3:uid="{D2EA9BD6-8402-46AC-95A8-DF1A566C93A6}" name="수정 Commit" dataDxfId="101"/>
    <tableColumn id="20" xr3:uid="{0722E4A3-198A-449E-84C2-6E5624EC5E1C}" name="재시험" dataDxfId="100"/>
    <tableColumn id="21" xr3:uid="{1D5213EA-977A-47AE-A8AA-C6694E4DBD6F}" name="증거 링크" dataDxfId="1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C32AE5-4131-4718-A94E-D865891B1F23}" name="tblAdminPms" displayName="tblAdminPms" ref="A1:J33" totalsRowShown="0" headerRowDxfId="89" dataDxfId="88" tableBorderDxfId="127">
  <autoFilter ref="A1:J33" xr:uid="{11C32AE5-4131-4718-A94E-D865891B1F23}"/>
  <tableColumns count="10">
    <tableColumn id="1" xr3:uid="{4717CAD4-5E13-40B8-9D31-5242705A7691}" name="No" dataDxfId="82"/>
    <tableColumn id="2" xr3:uid="{85907698-7499-4B79-9C64-A28EDE0C344B}" name="Case ID" dataDxfId="81"/>
    <tableColumn id="3" xr3:uid="{3FEC69D3-45A6-4876-8C74-714828805E10}" name="단계" dataDxfId="80"/>
    <tableColumn id="4" xr3:uid="{D589E247-1271-486D-8D44-72A891C631C8}" name="화면/흐름" dataDxfId="87"/>
    <tableColumn id="5" xr3:uid="{B0279D05-2658-4FBA-9026-5D68B5D7D897}" name="데이터 연결" dataDxfId="86"/>
    <tableColumn id="6" xr3:uid="{F7D08EE1-A3DB-4207-9A04-C602CB3A2B1C}" name="입력·절차" dataDxfId="85"/>
    <tableColumn id="7" xr3:uid="{1AC6241D-7E9C-483B-AA82-1A87AFFAD12C}" name="예상 결과" dataDxfId="84"/>
    <tableColumn id="8" xr3:uid="{0E0841BE-0517-4B3F-A695-79EC11563EB9}" name="상태" dataDxfId="79">
      <calculatedColumnFormula>IFERROR(INDEX('01_전체 케이스'!$I$2:$I$198,MATCH(B2,'01_전체 케이스'!$D$2:$D$198,0)),"미실행")</calculatedColumnFormula>
    </tableColumn>
    <tableColumn id="9" xr3:uid="{148769ED-1436-45E8-AAFF-68384FA64C29}" name="결함 ID" dataDxfId="78">
      <calculatedColumnFormula>IFERROR(IF(INDEX('01_전체 케이스'!$P$2:$P$198,MATCH(B2,'01_전체 케이스'!$D$2:$D$198,0))="","",INDEX('01_전체 케이스'!$P$2:$P$198,MATCH(B2,'01_전체 케이스'!$D$2:$D$198,0))),"")</calculatedColumnFormula>
    </tableColumn>
    <tableColumn id="10" xr3:uid="{DF08F4E7-6A8B-466A-AF51-14B36BB25EAA}" name="증거 링크" dataDxfId="83">
      <calculatedColumnFormula>IFERROR(IF(INDEX('01_전체 케이스'!$U$2:$U$198,MATCH(B2,'01_전체 케이스'!$D$2:$D$198,0))="","",INDEX('01_전체 케이스'!$U$2:$U$198,MATCH(B2,'01_전체 케이스'!$D$2:$D$198,0))),"")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063A3-BBF8-4147-B003-831DF026B2EA}" name="tblE2EResults" displayName="tblE2EResults" ref="A1:J16" totalsRowShown="0" headerRowDxfId="77" dataDxfId="76" tableBorderDxfId="126">
  <autoFilter ref="A1:J16" xr:uid="{ABB063A3-BBF8-4147-B003-831DF026B2EA}"/>
  <tableColumns count="10">
    <tableColumn id="1" xr3:uid="{8EEADCB6-D6E1-4963-94AA-778A07AE65BB}" name="No" dataDxfId="68"/>
    <tableColumn id="2" xr3:uid="{31A23270-C231-409D-A0E3-BD3F75B72DB6}" name="Case ID" dataDxfId="67"/>
    <tableColumn id="3" xr3:uid="{81386E2F-CFC5-4701-B437-DEF406F1B437}" name="시나리오" dataDxfId="75"/>
    <tableColumn id="4" xr3:uid="{F8F4790B-1E83-4389-86D7-121A63972C25}" name="핵심 절차" dataDxfId="74"/>
    <tableColumn id="5" xr3:uid="{6E449FC4-D517-47FA-8E0E-CC622B13C741}" name="최종 기대 결과" dataDxfId="73"/>
    <tableColumn id="6" xr3:uid="{9DEA85B1-E1EC-4A66-A9CB-E2BC5A4AC733}" name="상태" dataDxfId="66">
      <calculatedColumnFormula>IFERROR(INDEX('01_전체 케이스'!$I$2:$I$198,MATCH(B2,'01_전체 케이스'!$D$2:$D$198,0)),"미실행")</calculatedColumnFormula>
    </tableColumn>
    <tableColumn id="7" xr3:uid="{1E7D60E0-1431-4FE7-B088-DA070AE4365B}" name="실제 결과" dataDxfId="72">
      <calculatedColumnFormula>IFERROR(IF(INDEX('01_전체 케이스'!$L$2:$L$198,MATCH(B2,'01_전체 케이스'!$D$2:$D$198,0))="","",INDEX('01_전체 케이스'!$L$2:$L$198,MATCH(B2,'01_전체 케이스'!$D$2:$D$198,0))),"")</calculatedColumnFormula>
    </tableColumn>
    <tableColumn id="8" xr3:uid="{74706ED7-94B2-4286-B304-28339C07AF8F}" name="결함 ID" dataDxfId="71">
      <calculatedColumnFormula>IFERROR(IF(INDEX('01_전체 케이스'!$P$2:$P$198,MATCH(B2,'01_전체 케이스'!$D$2:$D$198,0))="","",INDEX('01_전체 케이스'!$P$2:$P$198,MATCH(B2,'01_전체 케이스'!$D$2:$D$198,0))),"")</calculatedColumnFormula>
    </tableColumn>
    <tableColumn id="9" xr3:uid="{0147CB20-6D1E-4535-9B70-6625A227A006}" name="재시험" dataDxfId="70">
      <calculatedColumnFormula>IFERROR(IF(INDEX('01_전체 케이스'!$T$2:$T$198,MATCH(B2,'01_전체 케이스'!$D$2:$D$198,0))="","",INDEX('01_전체 케이스'!$T$2:$T$198,MATCH(B2,'01_전체 케이스'!$D$2:$D$198,0))),"")</calculatedColumnFormula>
    </tableColumn>
    <tableColumn id="10" xr3:uid="{F276229B-1596-43EC-8527-E20AB881497E}" name="증거 링크" dataDxfId="69">
      <calculatedColumnFormula>IFERROR(IF(INDEX('01_전체 케이스'!$U$2:$U$198,MATCH(B2,'01_전체 케이스'!$D$2:$D$198,0))="","",INDEX('01_전체 케이스'!$U$2:$U$198,MATCH(B2,'01_전체 케이스'!$D$2:$D$198,0))),"")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C6C09-CA1B-4481-A224-2E8A0A7D29CB}" name="tblDefects" displayName="tblDefects" ref="A1:O51" totalsRowShown="0" headerRowDxfId="65" dataDxfId="64" tableBorderDxfId="125">
  <autoFilter ref="A1:O51" xr:uid="{AE3C6C09-CA1B-4481-A224-2E8A0A7D29CB}"/>
  <tableColumns count="15">
    <tableColumn id="1" xr3:uid="{12C19DDA-DCF4-4C47-AA6C-4B34118BA882}" name="결함 ID" dataDxfId="55"/>
    <tableColumn id="2" xr3:uid="{1CF2AB02-3553-415D-A293-769B54ECBE03}" name="Case ID" dataDxfId="54"/>
    <tableColumn id="3" xr3:uid="{DC8E9D4A-A814-4CCF-9A46-7E661BDE5354}" name="기능" dataDxfId="53"/>
    <tableColumn id="4" xr3:uid="{E8E2E091-2BE1-4606-B495-1AC01DF393EB}" name="심각도" dataDxfId="52"/>
    <tableColumn id="5" xr3:uid="{C6F7636A-DC18-4386-BE96-0EDD4EEC04BB}" name="상태" dataDxfId="63"/>
    <tableColumn id="6" xr3:uid="{47D38AEC-342F-4004-BAC9-D738EDA73DA7}" name="결함 요약" dataDxfId="62"/>
    <tableColumn id="7" xr3:uid="{30EDA67F-8AFA-47CF-A9D3-438E0C72066A}" name="재현 절차" dataDxfId="61"/>
    <tableColumn id="8" xr3:uid="{F9024582-EC4F-435E-8D5C-98A2E349F8AE}" name="원인" dataDxfId="60"/>
    <tableColumn id="9" xr3:uid="{D3C1D999-3BE9-45DF-90DA-66FC8C243174}" name="수정 파일/내용" dataDxfId="59"/>
    <tableColumn id="10" xr3:uid="{0E639C6F-0B11-47D2-B0C0-5B5C10B2D742}" name="수정 Commit" dataDxfId="58"/>
    <tableColumn id="11" xr3:uid="{71BFB469-4D21-40DF-BFD8-2D21F1C683FD}" name="재시험 결과" dataDxfId="51"/>
    <tableColumn id="12" xr3:uid="{959FCE35-DF83-493F-8CC2-186B6BAA127D}" name="증거 링크" dataDxfId="50"/>
    <tableColumn id="13" xr3:uid="{5708E795-11B7-4796-B7C4-9CCC4D28D7AB}" name="담당자" dataDxfId="49"/>
    <tableColumn id="14" xr3:uid="{DAA9F095-FE62-47BE-B27F-0B5FC6FCA6D5}" name="등록일" dataDxfId="57"/>
    <tableColumn id="15" xr3:uid="{E277623F-06A3-4B25-81C3-6A1BA7655F45}" name="완료일" dataDxfId="56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4B79D-C0F3-44BD-AC04-53B73719914D}" name="tblTraceability" displayName="tblTraceability" ref="A1:J61" totalsRowShown="0" headerRowDxfId="48" dataDxfId="47" tableBorderDxfId="124">
  <autoFilter ref="A1:J61" xr:uid="{FA24B79D-C0F3-44BD-AC04-53B73719914D}"/>
  <tableColumns count="10">
    <tableColumn id="1" xr3:uid="{88CAACFF-D180-497A-9BBE-86759B934E6A}" name="Page ID" dataDxfId="39"/>
    <tableColumn id="2" xr3:uid="{8D4743F8-C475-411B-ADD7-8C7A758EF6D6}" name="구분" dataDxfId="38"/>
    <tableColumn id="3" xr3:uid="{7CF634A7-90B8-4BDD-901F-7E7088DF059A}" name="화면 경로" dataDxfId="46"/>
    <tableColumn id="4" xr3:uid="{D7EC2150-BEAB-4BA3-90BB-0BD0B9BD541B}" name="제어 ID/라벨" dataDxfId="45"/>
    <tableColumn id="5" xr3:uid="{308EF0D1-11B4-4457-A9CF-674230D603C2}" name="API Alias" dataDxfId="44"/>
    <tableColumn id="6" xr3:uid="{CA566DDA-F723-49E4-BEBE-C051472DCD15}" name="DB 엔티티" dataDxfId="43"/>
    <tableColumn id="7" xr3:uid="{49CFAB23-6CC0-4B85-B8D9-1DCDFD466333}" name="관련 Case ID" dataDxfId="42"/>
    <tableColumn id="8" xr3:uid="{A4746965-8176-4A68-B7A1-855E66542FB9}" name="예상 연계" dataDxfId="41"/>
    <tableColumn id="9" xr3:uid="{7A2D032C-4B19-4DD2-A66D-EFC448533026}" name="상태" dataDxfId="37"/>
    <tableColumn id="10" xr3:uid="{B85961F0-F39D-42F6-B777-9329F6298CFD}" name="비고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677B15-2841-49EC-BD5F-34731BE52C01}" name="tblCodeMap" displayName="tblCodeMap" ref="A1:C12" totalsRowShown="0" headerRowDxfId="34" dataDxfId="33" tableBorderDxfId="123">
  <autoFilter ref="A1:C12" xr:uid="{AB677B15-2841-49EC-BD5F-34731BE52C01}"/>
  <tableColumns count="3">
    <tableColumn id="1" xr3:uid="{52E9C479-F4D9-4026-B9F4-22E0C52800D0}" name="코드 구분" dataDxfId="36"/>
    <tableColumn id="2" xr3:uid="{5B0C45B4-45D6-477F-B5DD-3023F1A0AB6D}" name="코드" dataDxfId="35"/>
    <tableColumn id="3" xr3:uid="{DC91E5B7-9632-454F-8A5A-A7799B2F5198}" name="설명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00665F-2037-4AC4-B5F0-9106D3BE1BEC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QB1lfSGiQ2-IJstBVx8WB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16AB189-4F54-4FF8-9836-AE3A690F2C8D}">
  <we:reference id="wa200010215" version="2.0.0.0" store="ko-KR" storeType="OMEX"/>
  <we:alternateReferences>
    <we:reference id="wa200010215" version="2.0.0.0" store="wa200010215" storeType="OMEX"/>
  </we:alternateReferences>
  <we:properties>
    <we:property name="bps.codex_control.document_id" value="&quot;376cb7a7-4f41-41c8-a517-b1746ff8d9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14FA-693E-41C4-A4C4-4F982D3E384F}">
  <dimension ref="A1:O29"/>
  <sheetViews>
    <sheetView showGridLines="0" workbookViewId="0">
      <selection sqref="A1:L1"/>
    </sheetView>
  </sheetViews>
  <sheetFormatPr defaultRowHeight="16.5" x14ac:dyDescent="0.3"/>
  <cols>
    <col min="1" max="1" width="29.125" customWidth="1"/>
    <col min="2" max="2" width="10.875" customWidth="1"/>
    <col min="3" max="3" width="12.5" customWidth="1"/>
    <col min="4" max="4" width="10.875" customWidth="1"/>
    <col min="5" max="5" width="12.5" customWidth="1"/>
    <col min="6" max="6" width="10.875" customWidth="1"/>
    <col min="7" max="7" width="12.5" customWidth="1"/>
    <col min="8" max="8" width="14.125" customWidth="1"/>
    <col min="9" max="12" width="12" customWidth="1"/>
    <col min="14" max="14" width="15" hidden="1" customWidth="1"/>
    <col min="15" max="15" width="15" customWidth="1"/>
  </cols>
  <sheetData>
    <row r="1" spans="1:15" ht="30" customHeight="1" x14ac:dyDescent="0.3">
      <c r="A1" s="2" t="s">
        <v>1014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7"/>
      <c r="N1" s="47"/>
      <c r="O1" s="47"/>
    </row>
    <row r="2" spans="1:15" ht="21.95" customHeight="1" x14ac:dyDescent="0.3">
      <c r="A2" s="3" t="s">
        <v>1015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7"/>
      <c r="N2" s="47"/>
      <c r="O2" s="47"/>
    </row>
    <row r="3" spans="1:1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 t="s">
        <v>8</v>
      </c>
      <c r="O3" s="47" t="s">
        <v>1021</v>
      </c>
    </row>
    <row r="4" spans="1:15" ht="24" customHeight="1" x14ac:dyDescent="0.3">
      <c r="A4" s="16" t="s">
        <v>1016</v>
      </c>
      <c r="B4" s="17"/>
      <c r="C4" s="18" t="s">
        <v>690</v>
      </c>
      <c r="D4" s="19"/>
      <c r="E4" s="20" t="s">
        <v>692</v>
      </c>
      <c r="F4" s="21"/>
      <c r="G4" s="22" t="s">
        <v>694</v>
      </c>
      <c r="H4" s="23"/>
      <c r="I4" s="24" t="s">
        <v>27</v>
      </c>
      <c r="J4" s="25"/>
      <c r="K4" s="26" t="s">
        <v>1017</v>
      </c>
      <c r="L4" s="27"/>
      <c r="M4" s="47"/>
      <c r="N4" s="47" t="s">
        <v>690</v>
      </c>
      <c r="O4" s="47">
        <f>C5</f>
        <v>0</v>
      </c>
    </row>
    <row r="5" spans="1:15" ht="24" customHeight="1" x14ac:dyDescent="0.3">
      <c r="A5" s="28">
        <f>COUNTA('01_전체 케이스'!$D$2:$D$198)</f>
        <v>197</v>
      </c>
      <c r="B5" s="29"/>
      <c r="C5" s="30">
        <f>COUNTIF('01_전체 케이스'!$I$2:$I$198,"PASS")</f>
        <v>0</v>
      </c>
      <c r="D5" s="31"/>
      <c r="E5" s="32">
        <f>COUNTIF('01_전체 케이스'!$I$2:$I$198,"FAIL")</f>
        <v>0</v>
      </c>
      <c r="F5" s="33"/>
      <c r="G5" s="34">
        <f>COUNTIF('01_전체 케이스'!$I$2:$I$198,"보류")</f>
        <v>0</v>
      </c>
      <c r="H5" s="35"/>
      <c r="I5" s="36">
        <f>COUNTIF('01_전체 케이스'!$I$2:$I$198,"미실행")</f>
        <v>197</v>
      </c>
      <c r="J5" s="37"/>
      <c r="K5" s="38">
        <f>IFERROR((C5+E5+G5)/A5,0)</f>
        <v>0</v>
      </c>
      <c r="L5" s="39"/>
      <c r="M5" s="47"/>
      <c r="N5" s="47" t="s">
        <v>692</v>
      </c>
      <c r="O5" s="47">
        <f>E5</f>
        <v>0</v>
      </c>
    </row>
    <row r="6" spans="1:15" ht="24" customHeight="1" x14ac:dyDescent="0.3">
      <c r="A6" s="5"/>
      <c r="B6" s="4"/>
      <c r="C6" s="6"/>
      <c r="D6" s="7"/>
      <c r="E6" s="8"/>
      <c r="F6" s="9"/>
      <c r="G6" s="10"/>
      <c r="H6" s="11"/>
      <c r="I6" s="12"/>
      <c r="J6" s="13"/>
      <c r="K6" s="14"/>
      <c r="L6" s="15"/>
      <c r="M6" s="47"/>
      <c r="N6" s="47" t="s">
        <v>694</v>
      </c>
      <c r="O6" s="47">
        <f>G5</f>
        <v>0</v>
      </c>
    </row>
    <row r="7" spans="1:15" x14ac:dyDescent="0.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 t="s">
        <v>27</v>
      </c>
      <c r="O7" s="47">
        <f>I5</f>
        <v>197</v>
      </c>
    </row>
    <row r="8" spans="1:15" x14ac:dyDescent="0.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x14ac:dyDescent="0.3">
      <c r="A9" s="48" t="s">
        <v>1018</v>
      </c>
      <c r="B9" s="48"/>
      <c r="C9" s="48"/>
      <c r="D9" s="48"/>
      <c r="E9" s="48"/>
      <c r="F9" s="48"/>
      <c r="G9" s="48"/>
      <c r="H9" s="48"/>
      <c r="I9" s="47"/>
      <c r="J9" s="47"/>
      <c r="K9" s="47"/>
      <c r="L9" s="47"/>
      <c r="M9" s="47"/>
      <c r="N9" s="47"/>
      <c r="O9" s="47"/>
    </row>
    <row r="10" spans="1:15" ht="24.95" customHeight="1" x14ac:dyDescent="0.3">
      <c r="A10" s="40" t="s">
        <v>2</v>
      </c>
      <c r="B10" s="40" t="s">
        <v>1019</v>
      </c>
      <c r="C10" s="40" t="s">
        <v>690</v>
      </c>
      <c r="D10" s="40" t="s">
        <v>692</v>
      </c>
      <c r="E10" s="40" t="s">
        <v>694</v>
      </c>
      <c r="F10" s="40" t="s">
        <v>27</v>
      </c>
      <c r="G10" s="40" t="s">
        <v>1017</v>
      </c>
      <c r="H10" s="40" t="s">
        <v>1020</v>
      </c>
      <c r="I10" s="47"/>
      <c r="J10" s="47"/>
      <c r="K10" s="47"/>
      <c r="L10" s="47"/>
      <c r="M10" s="47"/>
      <c r="N10" s="47"/>
      <c r="O10" s="47"/>
    </row>
    <row r="11" spans="1:15" ht="24.95" customHeight="1" x14ac:dyDescent="0.3">
      <c r="A11" s="40" t="s">
        <v>22</v>
      </c>
      <c r="B11" s="40">
        <f>COUNTIF('01_전체 케이스'!$C$2:$C$198,A11)</f>
        <v>10</v>
      </c>
      <c r="C11" s="40">
        <f>COUNTIFS('01_전체 케이스'!$C$2:$C$198,A11,'01_전체 케이스'!$I$2:$I$198,"PASS")</f>
        <v>0</v>
      </c>
      <c r="D11" s="40">
        <f>COUNTIFS('01_전체 케이스'!$C$2:$C$198,A11,'01_전체 케이스'!$I$2:$I$198,"FAIL")</f>
        <v>0</v>
      </c>
      <c r="E11" s="40">
        <f>COUNTIFS('01_전체 케이스'!$C$2:$C$198,A11,'01_전체 케이스'!$I$2:$I$198,"보류")</f>
        <v>0</v>
      </c>
      <c r="F11" s="40">
        <f>COUNTIFS('01_전체 케이스'!$C$2:$C$198,A11,'01_전체 케이스'!$I$2:$I$198,"미실행")</f>
        <v>10</v>
      </c>
      <c r="G11" s="41">
        <f>IFERROR((C11+D11+E11)/B11,0)</f>
        <v>0</v>
      </c>
      <c r="H11" s="40" t="str">
        <f>IF(D11&gt;0,"FAIL",IF(C11=B11,"PASS",IF(F11=B11,"미실행","보류")))</f>
        <v>미실행</v>
      </c>
      <c r="I11" s="47"/>
      <c r="J11" s="47"/>
      <c r="K11" s="47"/>
      <c r="L11" s="47"/>
      <c r="M11" s="47"/>
      <c r="N11" s="47"/>
      <c r="O11" s="47"/>
    </row>
    <row r="12" spans="1:15" ht="24.95" customHeight="1" x14ac:dyDescent="0.3">
      <c r="A12" s="40" t="s">
        <v>56</v>
      </c>
      <c r="B12" s="40">
        <f>COUNTIF('01_전체 케이스'!$C$2:$C$198,A12)</f>
        <v>10</v>
      </c>
      <c r="C12" s="40">
        <f>COUNTIFS('01_전체 케이스'!$C$2:$C$198,A12,'01_전체 케이스'!$I$2:$I$198,"PASS")</f>
        <v>0</v>
      </c>
      <c r="D12" s="40">
        <f>COUNTIFS('01_전체 케이스'!$C$2:$C$198,A12,'01_전체 케이스'!$I$2:$I$198,"FAIL")</f>
        <v>0</v>
      </c>
      <c r="E12" s="40">
        <f>COUNTIFS('01_전체 케이스'!$C$2:$C$198,A12,'01_전체 케이스'!$I$2:$I$198,"보류")</f>
        <v>0</v>
      </c>
      <c r="F12" s="40">
        <f>COUNTIFS('01_전체 케이스'!$C$2:$C$198,A12,'01_전체 케이스'!$I$2:$I$198,"미실행")</f>
        <v>10</v>
      </c>
      <c r="G12" s="41">
        <f>IFERROR((C12+D12+E12)/B12,0)</f>
        <v>0</v>
      </c>
      <c r="H12" s="40" t="str">
        <f>IF(D12&gt;0,"FAIL",IF(C12=B12,"PASS",IF(F12=B12,"미실행","보류")))</f>
        <v>미실행</v>
      </c>
      <c r="I12" s="47"/>
      <c r="J12" s="47"/>
      <c r="K12" s="47"/>
      <c r="L12" s="47"/>
      <c r="M12" s="47"/>
      <c r="N12" s="47"/>
      <c r="O12" s="47"/>
    </row>
    <row r="13" spans="1:15" ht="24.95" customHeight="1" x14ac:dyDescent="0.3">
      <c r="A13" s="40" t="s">
        <v>87</v>
      </c>
      <c r="B13" s="40">
        <f>COUNTIF('01_전체 케이스'!$C$2:$C$198,A13)</f>
        <v>25</v>
      </c>
      <c r="C13" s="40">
        <f>COUNTIFS('01_전체 케이스'!$C$2:$C$198,A13,'01_전체 케이스'!$I$2:$I$198,"PASS")</f>
        <v>0</v>
      </c>
      <c r="D13" s="40">
        <f>COUNTIFS('01_전체 케이스'!$C$2:$C$198,A13,'01_전체 케이스'!$I$2:$I$198,"FAIL")</f>
        <v>0</v>
      </c>
      <c r="E13" s="40">
        <f>COUNTIFS('01_전체 케이스'!$C$2:$C$198,A13,'01_전체 케이스'!$I$2:$I$198,"보류")</f>
        <v>0</v>
      </c>
      <c r="F13" s="40">
        <f>COUNTIFS('01_전체 케이스'!$C$2:$C$198,A13,'01_전체 케이스'!$I$2:$I$198,"미실행")</f>
        <v>25</v>
      </c>
      <c r="G13" s="41">
        <f>IFERROR((C13+D13+E13)/B13,0)</f>
        <v>0</v>
      </c>
      <c r="H13" s="40" t="str">
        <f>IF(D13&gt;0,"FAIL",IF(C13=B13,"PASS",IF(F13=B13,"미실행","보류")))</f>
        <v>미실행</v>
      </c>
      <c r="I13" s="47"/>
      <c r="J13" s="47"/>
      <c r="K13" s="47"/>
      <c r="L13" s="47"/>
      <c r="M13" s="47"/>
      <c r="N13" s="47"/>
      <c r="O13" s="47"/>
    </row>
    <row r="14" spans="1:15" ht="24.95" customHeight="1" x14ac:dyDescent="0.3">
      <c r="A14" s="40" t="s">
        <v>163</v>
      </c>
      <c r="B14" s="40">
        <f>COUNTIF('01_전체 케이스'!$C$2:$C$198,A14)</f>
        <v>10</v>
      </c>
      <c r="C14" s="40">
        <f>COUNTIFS('01_전체 케이스'!$C$2:$C$198,A14,'01_전체 케이스'!$I$2:$I$198,"PASS")</f>
        <v>0</v>
      </c>
      <c r="D14" s="40">
        <f>COUNTIFS('01_전체 케이스'!$C$2:$C$198,A14,'01_전체 케이스'!$I$2:$I$198,"FAIL")</f>
        <v>0</v>
      </c>
      <c r="E14" s="40">
        <f>COUNTIFS('01_전체 케이스'!$C$2:$C$198,A14,'01_전체 케이스'!$I$2:$I$198,"보류")</f>
        <v>0</v>
      </c>
      <c r="F14" s="40">
        <f>COUNTIFS('01_전체 케이스'!$C$2:$C$198,A14,'01_전체 케이스'!$I$2:$I$198,"미실행")</f>
        <v>10</v>
      </c>
      <c r="G14" s="41">
        <f>IFERROR((C14+D14+E14)/B14,0)</f>
        <v>0</v>
      </c>
      <c r="H14" s="40" t="str">
        <f>IF(D14&gt;0,"FAIL",IF(C14=B14,"PASS",IF(F14=B14,"미실행","보류")))</f>
        <v>미실행</v>
      </c>
      <c r="I14" s="47"/>
      <c r="J14" s="47"/>
      <c r="K14" s="47"/>
      <c r="L14" s="47"/>
      <c r="M14" s="47"/>
      <c r="N14" s="47"/>
      <c r="O14" s="47"/>
    </row>
    <row r="15" spans="1:15" ht="24.95" customHeight="1" x14ac:dyDescent="0.3">
      <c r="A15" s="40" t="s">
        <v>194</v>
      </c>
      <c r="B15" s="40">
        <f>COUNTIF('01_전체 케이스'!$C$2:$C$198,A15)</f>
        <v>8</v>
      </c>
      <c r="C15" s="40">
        <f>COUNTIFS('01_전체 케이스'!$C$2:$C$198,A15,'01_전체 케이스'!$I$2:$I$198,"PASS")</f>
        <v>0</v>
      </c>
      <c r="D15" s="40">
        <f>COUNTIFS('01_전체 케이스'!$C$2:$C$198,A15,'01_전체 케이스'!$I$2:$I$198,"FAIL")</f>
        <v>0</v>
      </c>
      <c r="E15" s="40">
        <f>COUNTIFS('01_전체 케이스'!$C$2:$C$198,A15,'01_전체 케이스'!$I$2:$I$198,"보류")</f>
        <v>0</v>
      </c>
      <c r="F15" s="40">
        <f>COUNTIFS('01_전체 케이스'!$C$2:$C$198,A15,'01_전체 케이스'!$I$2:$I$198,"미실행")</f>
        <v>8</v>
      </c>
      <c r="G15" s="41">
        <f>IFERROR((C15+D15+E15)/B15,0)</f>
        <v>0</v>
      </c>
      <c r="H15" s="40" t="str">
        <f>IF(D15&gt;0,"FAIL",IF(C15=B15,"PASS",IF(F15=B15,"미실행","보류")))</f>
        <v>미실행</v>
      </c>
      <c r="I15" s="47"/>
      <c r="J15" s="47"/>
      <c r="K15" s="47"/>
      <c r="L15" s="47"/>
      <c r="M15" s="47"/>
      <c r="N15" s="47"/>
      <c r="O15" s="47"/>
    </row>
    <row r="16" spans="1:15" ht="24.95" customHeight="1" x14ac:dyDescent="0.3">
      <c r="A16" s="40" t="s">
        <v>219</v>
      </c>
      <c r="B16" s="40">
        <f>COUNTIF('01_전체 케이스'!$C$2:$C$198,A16)</f>
        <v>10</v>
      </c>
      <c r="C16" s="40">
        <f>COUNTIFS('01_전체 케이스'!$C$2:$C$198,A16,'01_전체 케이스'!$I$2:$I$198,"PASS")</f>
        <v>0</v>
      </c>
      <c r="D16" s="40">
        <f>COUNTIFS('01_전체 케이스'!$C$2:$C$198,A16,'01_전체 케이스'!$I$2:$I$198,"FAIL")</f>
        <v>0</v>
      </c>
      <c r="E16" s="40">
        <f>COUNTIFS('01_전체 케이스'!$C$2:$C$198,A16,'01_전체 케이스'!$I$2:$I$198,"보류")</f>
        <v>0</v>
      </c>
      <c r="F16" s="40">
        <f>COUNTIFS('01_전체 케이스'!$C$2:$C$198,A16,'01_전체 케이스'!$I$2:$I$198,"미실행")</f>
        <v>10</v>
      </c>
      <c r="G16" s="41">
        <f>IFERROR((C16+D16+E16)/B16,0)</f>
        <v>0</v>
      </c>
      <c r="H16" s="40" t="str">
        <f>IF(D16&gt;0,"FAIL",IF(C16=B16,"PASS",IF(F16=B16,"미실행","보류")))</f>
        <v>미실행</v>
      </c>
      <c r="I16" s="47"/>
      <c r="J16" s="47"/>
      <c r="K16" s="47"/>
      <c r="L16" s="47"/>
      <c r="M16" s="47"/>
      <c r="N16" s="47"/>
      <c r="O16" s="47"/>
    </row>
    <row r="17" spans="1:15" ht="24.95" customHeight="1" x14ac:dyDescent="0.3">
      <c r="A17" s="40" t="s">
        <v>250</v>
      </c>
      <c r="B17" s="40">
        <f>COUNTIF('01_전체 케이스'!$C$2:$C$198,A17)</f>
        <v>16</v>
      </c>
      <c r="C17" s="40">
        <f>COUNTIFS('01_전체 케이스'!$C$2:$C$198,A17,'01_전체 케이스'!$I$2:$I$198,"PASS")</f>
        <v>0</v>
      </c>
      <c r="D17" s="40">
        <f>COUNTIFS('01_전체 케이스'!$C$2:$C$198,A17,'01_전체 케이스'!$I$2:$I$198,"FAIL")</f>
        <v>0</v>
      </c>
      <c r="E17" s="40">
        <f>COUNTIFS('01_전체 케이스'!$C$2:$C$198,A17,'01_전체 케이스'!$I$2:$I$198,"보류")</f>
        <v>0</v>
      </c>
      <c r="F17" s="40">
        <f>COUNTIFS('01_전체 케이스'!$C$2:$C$198,A17,'01_전체 케이스'!$I$2:$I$198,"미실행")</f>
        <v>16</v>
      </c>
      <c r="G17" s="41">
        <f>IFERROR((C17+D17+E17)/B17,0)</f>
        <v>0</v>
      </c>
      <c r="H17" s="40" t="str">
        <f>IF(D17&gt;0,"FAIL",IF(C17=B17,"PASS",IF(F17=B17,"미실행","보류")))</f>
        <v>미실행</v>
      </c>
      <c r="I17" s="47"/>
      <c r="J17" s="47"/>
      <c r="K17" s="47"/>
      <c r="L17" s="47"/>
      <c r="M17" s="47"/>
      <c r="N17" s="47"/>
      <c r="O17" s="47"/>
    </row>
    <row r="18" spans="1:15" ht="24.95" customHeight="1" x14ac:dyDescent="0.3">
      <c r="A18" s="40" t="s">
        <v>299</v>
      </c>
      <c r="B18" s="40">
        <f>COUNTIF('01_전체 케이스'!$C$2:$C$198,A18)</f>
        <v>12</v>
      </c>
      <c r="C18" s="40">
        <f>COUNTIFS('01_전체 케이스'!$C$2:$C$198,A18,'01_전체 케이스'!$I$2:$I$198,"PASS")</f>
        <v>0</v>
      </c>
      <c r="D18" s="40">
        <f>COUNTIFS('01_전체 케이스'!$C$2:$C$198,A18,'01_전체 케이스'!$I$2:$I$198,"FAIL")</f>
        <v>0</v>
      </c>
      <c r="E18" s="40">
        <f>COUNTIFS('01_전체 케이스'!$C$2:$C$198,A18,'01_전체 케이스'!$I$2:$I$198,"보류")</f>
        <v>0</v>
      </c>
      <c r="F18" s="40">
        <f>COUNTIFS('01_전체 케이스'!$C$2:$C$198,A18,'01_전체 케이스'!$I$2:$I$198,"미실행")</f>
        <v>12</v>
      </c>
      <c r="G18" s="41">
        <f>IFERROR((C18+D18+E18)/B18,0)</f>
        <v>0</v>
      </c>
      <c r="H18" s="40" t="str">
        <f>IF(D18&gt;0,"FAIL",IF(C18=B18,"PASS",IF(F18=B18,"미실행","보류")))</f>
        <v>미실행</v>
      </c>
      <c r="I18" s="47"/>
      <c r="J18" s="47"/>
      <c r="K18" s="47"/>
      <c r="L18" s="47"/>
      <c r="M18" s="47"/>
      <c r="N18" s="47"/>
      <c r="O18" s="47"/>
    </row>
    <row r="19" spans="1:15" ht="24.95" customHeight="1" x14ac:dyDescent="0.3">
      <c r="A19" s="40" t="s">
        <v>336</v>
      </c>
      <c r="B19" s="40">
        <f>COUNTIF('01_전체 케이스'!$C$2:$C$198,A19)</f>
        <v>25</v>
      </c>
      <c r="C19" s="40">
        <f>COUNTIFS('01_전체 케이스'!$C$2:$C$198,A19,'01_전체 케이스'!$I$2:$I$198,"PASS")</f>
        <v>0</v>
      </c>
      <c r="D19" s="40">
        <f>COUNTIFS('01_전체 케이스'!$C$2:$C$198,A19,'01_전체 케이스'!$I$2:$I$198,"FAIL")</f>
        <v>0</v>
      </c>
      <c r="E19" s="40">
        <f>COUNTIFS('01_전체 케이스'!$C$2:$C$198,A19,'01_전체 케이스'!$I$2:$I$198,"보류")</f>
        <v>0</v>
      </c>
      <c r="F19" s="40">
        <f>COUNTIFS('01_전체 케이스'!$C$2:$C$198,A19,'01_전체 케이스'!$I$2:$I$198,"미실행")</f>
        <v>25</v>
      </c>
      <c r="G19" s="41">
        <f>IFERROR((C19+D19+E19)/B19,0)</f>
        <v>0</v>
      </c>
      <c r="H19" s="40" t="str">
        <f>IF(D19&gt;0,"FAIL",IF(C19=B19,"PASS",IF(F19=B19,"미실행","보류")))</f>
        <v>미실행</v>
      </c>
      <c r="I19" s="47"/>
      <c r="J19" s="47"/>
      <c r="K19" s="47"/>
      <c r="L19" s="47"/>
      <c r="M19" s="47"/>
      <c r="N19" s="47"/>
      <c r="O19" s="47"/>
    </row>
    <row r="20" spans="1:15" ht="24.95" customHeight="1" x14ac:dyDescent="0.3">
      <c r="A20" s="40" t="s">
        <v>412</v>
      </c>
      <c r="B20" s="40">
        <f>COUNTIF('01_전체 케이스'!$C$2:$C$198,A20)</f>
        <v>15</v>
      </c>
      <c r="C20" s="40">
        <f>COUNTIFS('01_전체 케이스'!$C$2:$C$198,A20,'01_전체 케이스'!$I$2:$I$198,"PASS")</f>
        <v>0</v>
      </c>
      <c r="D20" s="40">
        <f>COUNTIFS('01_전체 케이스'!$C$2:$C$198,A20,'01_전체 케이스'!$I$2:$I$198,"FAIL")</f>
        <v>0</v>
      </c>
      <c r="E20" s="40">
        <f>COUNTIFS('01_전체 케이스'!$C$2:$C$198,A20,'01_전체 케이스'!$I$2:$I$198,"보류")</f>
        <v>0</v>
      </c>
      <c r="F20" s="40">
        <f>COUNTIFS('01_전체 케이스'!$C$2:$C$198,A20,'01_전체 케이스'!$I$2:$I$198,"미실행")</f>
        <v>15</v>
      </c>
      <c r="G20" s="41">
        <f>IFERROR((C20+D20+E20)/B20,0)</f>
        <v>0</v>
      </c>
      <c r="H20" s="40" t="str">
        <f>IF(D20&gt;0,"FAIL",IF(C20=B20,"PASS",IF(F20=B20,"미실행","보류")))</f>
        <v>미실행</v>
      </c>
      <c r="I20" s="47"/>
      <c r="J20" s="47"/>
      <c r="K20" s="47"/>
      <c r="L20" s="47"/>
      <c r="M20" s="47"/>
      <c r="N20" s="47"/>
      <c r="O20" s="47"/>
    </row>
    <row r="21" spans="1:15" ht="24.95" customHeight="1" x14ac:dyDescent="0.3">
      <c r="A21" s="40" t="s">
        <v>459</v>
      </c>
      <c r="B21" s="40">
        <f>COUNTIF('01_전체 케이스'!$C$2:$C$198,A21)</f>
        <v>15</v>
      </c>
      <c r="C21" s="40">
        <f>COUNTIFS('01_전체 케이스'!$C$2:$C$198,A21,'01_전체 케이스'!$I$2:$I$198,"PASS")</f>
        <v>0</v>
      </c>
      <c r="D21" s="40">
        <f>COUNTIFS('01_전체 케이스'!$C$2:$C$198,A21,'01_전체 케이스'!$I$2:$I$198,"FAIL")</f>
        <v>0</v>
      </c>
      <c r="E21" s="40">
        <f>COUNTIFS('01_전체 케이스'!$C$2:$C$198,A21,'01_전체 케이스'!$I$2:$I$198,"보류")</f>
        <v>0</v>
      </c>
      <c r="F21" s="40">
        <f>COUNTIFS('01_전체 케이스'!$C$2:$C$198,A21,'01_전체 케이스'!$I$2:$I$198,"미실행")</f>
        <v>15</v>
      </c>
      <c r="G21" s="41">
        <f>IFERROR((C21+D21+E21)/B21,0)</f>
        <v>0</v>
      </c>
      <c r="H21" s="40" t="str">
        <f>IF(D21&gt;0,"FAIL",IF(C21=B21,"PASS",IF(F21=B21,"미실행","보류")))</f>
        <v>미실행</v>
      </c>
      <c r="I21" s="47"/>
      <c r="J21" s="47"/>
      <c r="K21" s="47"/>
      <c r="L21" s="47"/>
      <c r="M21" s="47"/>
      <c r="N21" s="47"/>
      <c r="O21" s="47"/>
    </row>
    <row r="22" spans="1:15" ht="24.95" customHeight="1" x14ac:dyDescent="0.3">
      <c r="A22" s="40" t="s">
        <v>521</v>
      </c>
      <c r="B22" s="40">
        <f>COUNTIF('01_전체 케이스'!$C$2:$C$198,A22)</f>
        <v>41</v>
      </c>
      <c r="C22" s="40">
        <f>COUNTIFS('01_전체 케이스'!$C$2:$C$198,A22,'01_전체 케이스'!$I$2:$I$198,"PASS")</f>
        <v>0</v>
      </c>
      <c r="D22" s="40">
        <f>COUNTIFS('01_전체 케이스'!$C$2:$C$198,A22,'01_전체 케이스'!$I$2:$I$198,"FAIL")</f>
        <v>0</v>
      </c>
      <c r="E22" s="40">
        <f>COUNTIFS('01_전체 케이스'!$C$2:$C$198,A22,'01_전체 케이스'!$I$2:$I$198,"보류")</f>
        <v>0</v>
      </c>
      <c r="F22" s="40">
        <f>COUNTIFS('01_전체 케이스'!$C$2:$C$198,A22,'01_전체 케이스'!$I$2:$I$198,"미실행")</f>
        <v>41</v>
      </c>
      <c r="G22" s="41">
        <f>IFERROR((C22+D22+E22)/B22,0)</f>
        <v>0</v>
      </c>
      <c r="H22" s="40" t="str">
        <f>IF(D22&gt;0,"FAIL",IF(C22=B22,"PASS",IF(F22=B22,"미실행","보류")))</f>
        <v>미실행</v>
      </c>
      <c r="I22" s="47"/>
      <c r="J22" s="47"/>
      <c r="K22" s="47"/>
      <c r="L22" s="47"/>
      <c r="M22" s="47"/>
      <c r="N22" s="47"/>
      <c r="O22" s="47"/>
    </row>
    <row r="23" spans="1:15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</row>
    <row r="24" spans="1:15" x14ac:dyDescent="0.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24" customHeight="1" x14ac:dyDescent="0.3">
      <c r="A25" s="42" t="s">
        <v>1022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7"/>
      <c r="N25" s="47"/>
      <c r="O25" s="47"/>
    </row>
    <row r="26" spans="1:15" ht="24" customHeight="1" x14ac:dyDescent="0.3">
      <c r="A26" s="49" t="s">
        <v>1023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7"/>
      <c r="N26" s="47"/>
      <c r="O26" s="47"/>
    </row>
    <row r="27" spans="1:15" ht="24" customHeight="1" x14ac:dyDescent="0.3">
      <c r="A27" s="49" t="s">
        <v>1024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7"/>
      <c r="N27" s="47"/>
      <c r="O27" s="47"/>
    </row>
    <row r="28" spans="1:15" ht="24" customHeight="1" x14ac:dyDescent="0.3">
      <c r="A28" s="49" t="s">
        <v>1025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7"/>
      <c r="N28" s="47"/>
      <c r="O28" s="47"/>
    </row>
    <row r="29" spans="1:15" ht="24" customHeight="1" x14ac:dyDescent="0.3">
      <c r="A29" s="50" t="s">
        <v>1026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47"/>
      <c r="N29" s="47"/>
      <c r="O29" s="47"/>
    </row>
  </sheetData>
  <mergeCells count="16">
    <mergeCell ref="I4:J4"/>
    <mergeCell ref="I5:J6"/>
    <mergeCell ref="K4:L4"/>
    <mergeCell ref="K5:L6"/>
    <mergeCell ref="A9:H9"/>
    <mergeCell ref="A25:L25"/>
    <mergeCell ref="A1:L1"/>
    <mergeCell ref="A2:L2"/>
    <mergeCell ref="A4:B4"/>
    <mergeCell ref="A5:B6"/>
    <mergeCell ref="C4:D4"/>
    <mergeCell ref="C5:D6"/>
    <mergeCell ref="E4:F4"/>
    <mergeCell ref="E5:F6"/>
    <mergeCell ref="G4:H4"/>
    <mergeCell ref="G5:H6"/>
  </mergeCells>
  <phoneticPr fontId="1" type="noConversion"/>
  <conditionalFormatting sqref="H11:H22">
    <cfRule type="expression" dxfId="31" priority="1">
      <formula>H11="PASS"</formula>
    </cfRule>
  </conditionalFormatting>
  <conditionalFormatting sqref="H11:H22">
    <cfRule type="expression" dxfId="30" priority="2">
      <formula>H11="FAIL"</formula>
    </cfRule>
  </conditionalFormatting>
  <conditionalFormatting sqref="H11:H22">
    <cfRule type="expression" dxfId="29" priority="3">
      <formula>H11="보류"</formula>
    </cfRule>
  </conditionalFormatting>
  <conditionalFormatting sqref="H11:H22">
    <cfRule type="expression" dxfId="28" priority="4">
      <formula>H11="미실행"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C220-AF7E-48A5-97CD-5BE9C2BDB1D9}">
  <sheetPr>
    <tabColor rgb="FF2563EB"/>
  </sheetPr>
  <dimension ref="A1:U198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3" sqref="H13"/>
    </sheetView>
  </sheetViews>
  <sheetFormatPr defaultRowHeight="16.5" x14ac:dyDescent="0.3"/>
  <cols>
    <col min="1" max="1" width="7" customWidth="1"/>
    <col min="2" max="2" width="13" style="1" customWidth="1"/>
    <col min="3" max="3" width="24.125" style="1" customWidth="1"/>
    <col min="4" max="4" width="15.875" style="1" customWidth="1"/>
    <col min="5" max="5" width="9.125" style="1" customWidth="1"/>
    <col min="6" max="6" width="27.5" style="1" customWidth="1"/>
    <col min="7" max="7" width="51.625" style="1" customWidth="1"/>
    <col min="8" max="8" width="48.375" style="1" customWidth="1"/>
    <col min="9" max="9" width="11.625" style="1" customWidth="1"/>
    <col min="10" max="10" width="18.375" style="1" customWidth="1"/>
    <col min="11" max="11" width="13.375" style="1" customWidth="1"/>
    <col min="12" max="12" width="38.375" style="1" customWidth="1"/>
    <col min="13" max="14" width="27.5" style="1" customWidth="1"/>
    <col min="15" max="15" width="17.5" style="1" customWidth="1"/>
    <col min="16" max="16" width="13.375" style="1" customWidth="1"/>
    <col min="17" max="17" width="28.375" style="1" customWidth="1"/>
    <col min="18" max="18" width="40.875" style="1" customWidth="1"/>
    <col min="19" max="19" width="17.5" style="1" customWidth="1"/>
    <col min="20" max="20" width="11.625" style="1" customWidth="1"/>
    <col min="21" max="21" width="30" style="1" customWidth="1"/>
  </cols>
  <sheetData>
    <row r="1" spans="1:21" ht="30" customHeight="1" x14ac:dyDescent="0.3">
      <c r="A1" s="46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ht="54" customHeight="1" x14ac:dyDescent="0.3">
      <c r="A2" s="44">
        <v>1</v>
      </c>
      <c r="B2" s="45" t="s">
        <v>21</v>
      </c>
      <c r="C2" s="45" t="s">
        <v>22</v>
      </c>
      <c r="D2" s="45" t="s">
        <v>23</v>
      </c>
      <c r="E2" s="45" t="s">
        <v>24</v>
      </c>
      <c r="F2" s="45" t="s">
        <v>22</v>
      </c>
      <c r="G2" s="43" t="s">
        <v>25</v>
      </c>
      <c r="H2" s="43" t="s">
        <v>26</v>
      </c>
      <c r="I2" s="45" t="s">
        <v>27</v>
      </c>
      <c r="J2" s="45"/>
      <c r="K2" s="45"/>
      <c r="L2" s="43"/>
      <c r="M2" s="43"/>
      <c r="N2" s="43"/>
      <c r="O2" s="43"/>
      <c r="P2" s="43"/>
      <c r="Q2" s="43"/>
      <c r="R2" s="43"/>
      <c r="S2" s="45"/>
      <c r="T2" s="45"/>
      <c r="U2" s="43"/>
    </row>
    <row r="3" spans="1:21" ht="54" customHeight="1" x14ac:dyDescent="0.3">
      <c r="A3" s="44">
        <v>2</v>
      </c>
      <c r="B3" s="45" t="s">
        <v>21</v>
      </c>
      <c r="C3" s="45" t="s">
        <v>22</v>
      </c>
      <c r="D3" s="45" t="s">
        <v>28</v>
      </c>
      <c r="E3" s="45" t="s">
        <v>24</v>
      </c>
      <c r="F3" s="45" t="s">
        <v>22</v>
      </c>
      <c r="G3" s="43" t="s">
        <v>29</v>
      </c>
      <c r="H3" s="43" t="s">
        <v>30</v>
      </c>
      <c r="I3" s="45" t="s">
        <v>27</v>
      </c>
      <c r="J3" s="45"/>
      <c r="K3" s="45"/>
      <c r="L3" s="43"/>
      <c r="M3" s="43"/>
      <c r="N3" s="43"/>
      <c r="O3" s="43"/>
      <c r="P3" s="43"/>
      <c r="Q3" s="43"/>
      <c r="R3" s="43"/>
      <c r="S3" s="45"/>
      <c r="T3" s="45"/>
      <c r="U3" s="43"/>
    </row>
    <row r="4" spans="1:21" ht="54" customHeight="1" x14ac:dyDescent="0.3">
      <c r="A4" s="44">
        <v>3</v>
      </c>
      <c r="B4" s="45" t="s">
        <v>21</v>
      </c>
      <c r="C4" s="45" t="s">
        <v>22</v>
      </c>
      <c r="D4" s="45" t="s">
        <v>31</v>
      </c>
      <c r="E4" s="45" t="s">
        <v>24</v>
      </c>
      <c r="F4" s="45" t="s">
        <v>22</v>
      </c>
      <c r="G4" s="43" t="s">
        <v>32</v>
      </c>
      <c r="H4" s="43" t="s">
        <v>33</v>
      </c>
      <c r="I4" s="45" t="s">
        <v>27</v>
      </c>
      <c r="J4" s="45"/>
      <c r="K4" s="45"/>
      <c r="L4" s="43"/>
      <c r="M4" s="43"/>
      <c r="N4" s="43"/>
      <c r="O4" s="43"/>
      <c r="P4" s="43"/>
      <c r="Q4" s="43"/>
      <c r="R4" s="43"/>
      <c r="S4" s="45"/>
      <c r="T4" s="45"/>
      <c r="U4" s="43"/>
    </row>
    <row r="5" spans="1:21" ht="54" customHeight="1" x14ac:dyDescent="0.3">
      <c r="A5" s="44">
        <v>4</v>
      </c>
      <c r="B5" s="45" t="s">
        <v>21</v>
      </c>
      <c r="C5" s="45" t="s">
        <v>22</v>
      </c>
      <c r="D5" s="45" t="s">
        <v>34</v>
      </c>
      <c r="E5" s="45" t="s">
        <v>35</v>
      </c>
      <c r="F5" s="45" t="s">
        <v>22</v>
      </c>
      <c r="G5" s="43" t="s">
        <v>36</v>
      </c>
      <c r="H5" s="43" t="s">
        <v>37</v>
      </c>
      <c r="I5" s="45" t="s">
        <v>27</v>
      </c>
      <c r="J5" s="45"/>
      <c r="K5" s="45"/>
      <c r="L5" s="43"/>
      <c r="M5" s="43"/>
      <c r="N5" s="43"/>
      <c r="O5" s="43"/>
      <c r="P5" s="43"/>
      <c r="Q5" s="43"/>
      <c r="R5" s="43"/>
      <c r="S5" s="45"/>
      <c r="T5" s="45"/>
      <c r="U5" s="43"/>
    </row>
    <row r="6" spans="1:21" ht="54" customHeight="1" x14ac:dyDescent="0.3">
      <c r="A6" s="44">
        <v>5</v>
      </c>
      <c r="B6" s="45" t="s">
        <v>21</v>
      </c>
      <c r="C6" s="45" t="s">
        <v>22</v>
      </c>
      <c r="D6" s="45" t="s">
        <v>38</v>
      </c>
      <c r="E6" s="45" t="s">
        <v>35</v>
      </c>
      <c r="F6" s="45" t="s">
        <v>22</v>
      </c>
      <c r="G6" s="43" t="s">
        <v>39</v>
      </c>
      <c r="H6" s="43" t="s">
        <v>40</v>
      </c>
      <c r="I6" s="45" t="s">
        <v>27</v>
      </c>
      <c r="J6" s="45"/>
      <c r="K6" s="45"/>
      <c r="L6" s="43"/>
      <c r="M6" s="43"/>
      <c r="N6" s="43"/>
      <c r="O6" s="43"/>
      <c r="P6" s="43"/>
      <c r="Q6" s="43"/>
      <c r="R6" s="43"/>
      <c r="S6" s="45"/>
      <c r="T6" s="45"/>
      <c r="U6" s="43"/>
    </row>
    <row r="7" spans="1:21" ht="54" customHeight="1" x14ac:dyDescent="0.3">
      <c r="A7" s="44">
        <v>6</v>
      </c>
      <c r="B7" s="45" t="s">
        <v>21</v>
      </c>
      <c r="C7" s="45" t="s">
        <v>22</v>
      </c>
      <c r="D7" s="45" t="s">
        <v>41</v>
      </c>
      <c r="E7" s="45" t="s">
        <v>35</v>
      </c>
      <c r="F7" s="45" t="s">
        <v>22</v>
      </c>
      <c r="G7" s="43" t="s">
        <v>42</v>
      </c>
      <c r="H7" s="43" t="s">
        <v>43</v>
      </c>
      <c r="I7" s="45" t="s">
        <v>27</v>
      </c>
      <c r="J7" s="45"/>
      <c r="K7" s="45"/>
      <c r="L7" s="43"/>
      <c r="M7" s="43"/>
      <c r="N7" s="43"/>
      <c r="O7" s="43"/>
      <c r="P7" s="43"/>
      <c r="Q7" s="43"/>
      <c r="R7" s="43"/>
      <c r="S7" s="45"/>
      <c r="T7" s="45"/>
      <c r="U7" s="43"/>
    </row>
    <row r="8" spans="1:21" ht="54" customHeight="1" x14ac:dyDescent="0.3">
      <c r="A8" s="44">
        <v>7</v>
      </c>
      <c r="B8" s="45" t="s">
        <v>21</v>
      </c>
      <c r="C8" s="45" t="s">
        <v>22</v>
      </c>
      <c r="D8" s="45" t="s">
        <v>44</v>
      </c>
      <c r="E8" s="45" t="s">
        <v>35</v>
      </c>
      <c r="F8" s="45" t="s">
        <v>22</v>
      </c>
      <c r="G8" s="43" t="s">
        <v>45</v>
      </c>
      <c r="H8" s="43" t="s">
        <v>46</v>
      </c>
      <c r="I8" s="45" t="s">
        <v>27</v>
      </c>
      <c r="J8" s="45"/>
      <c r="K8" s="45"/>
      <c r="L8" s="43"/>
      <c r="M8" s="43"/>
      <c r="N8" s="43"/>
      <c r="O8" s="43"/>
      <c r="P8" s="43"/>
      <c r="Q8" s="43"/>
      <c r="R8" s="43"/>
      <c r="S8" s="45"/>
      <c r="T8" s="45"/>
      <c r="U8" s="43"/>
    </row>
    <row r="9" spans="1:21" ht="54" customHeight="1" x14ac:dyDescent="0.3">
      <c r="A9" s="44">
        <v>8</v>
      </c>
      <c r="B9" s="45" t="s">
        <v>21</v>
      </c>
      <c r="C9" s="45" t="s">
        <v>22</v>
      </c>
      <c r="D9" s="45" t="s">
        <v>47</v>
      </c>
      <c r="E9" s="45" t="s">
        <v>35</v>
      </c>
      <c r="F9" s="45" t="s">
        <v>22</v>
      </c>
      <c r="G9" s="43" t="s">
        <v>48</v>
      </c>
      <c r="H9" s="43" t="s">
        <v>49</v>
      </c>
      <c r="I9" s="45" t="s">
        <v>27</v>
      </c>
      <c r="J9" s="45"/>
      <c r="K9" s="45"/>
      <c r="L9" s="43"/>
      <c r="M9" s="43"/>
      <c r="N9" s="43"/>
      <c r="O9" s="43"/>
      <c r="P9" s="43"/>
      <c r="Q9" s="43"/>
      <c r="R9" s="43"/>
      <c r="S9" s="45"/>
      <c r="T9" s="45"/>
      <c r="U9" s="43"/>
    </row>
    <row r="10" spans="1:21" ht="54" customHeight="1" x14ac:dyDescent="0.3">
      <c r="A10" s="44">
        <v>9</v>
      </c>
      <c r="B10" s="45" t="s">
        <v>21</v>
      </c>
      <c r="C10" s="45" t="s">
        <v>22</v>
      </c>
      <c r="D10" s="45" t="s">
        <v>50</v>
      </c>
      <c r="E10" s="45" t="s">
        <v>35</v>
      </c>
      <c r="F10" s="45" t="s">
        <v>22</v>
      </c>
      <c r="G10" s="43" t="s">
        <v>51</v>
      </c>
      <c r="H10" s="43" t="s">
        <v>52</v>
      </c>
      <c r="I10" s="45" t="s">
        <v>27</v>
      </c>
      <c r="J10" s="45"/>
      <c r="K10" s="45"/>
      <c r="L10" s="43"/>
      <c r="M10" s="43"/>
      <c r="N10" s="43"/>
      <c r="O10" s="43"/>
      <c r="P10" s="43"/>
      <c r="Q10" s="43"/>
      <c r="R10" s="43"/>
      <c r="S10" s="45"/>
      <c r="T10" s="45"/>
      <c r="U10" s="43"/>
    </row>
    <row r="11" spans="1:21" ht="54" customHeight="1" x14ac:dyDescent="0.3">
      <c r="A11" s="44">
        <v>10</v>
      </c>
      <c r="B11" s="45" t="s">
        <v>21</v>
      </c>
      <c r="C11" s="45" t="s">
        <v>22</v>
      </c>
      <c r="D11" s="45" t="s">
        <v>53</v>
      </c>
      <c r="E11" s="45" t="s">
        <v>24</v>
      </c>
      <c r="F11" s="45" t="s">
        <v>22</v>
      </c>
      <c r="G11" s="43" t="s">
        <v>54</v>
      </c>
      <c r="H11" s="43" t="s">
        <v>55</v>
      </c>
      <c r="I11" s="45" t="s">
        <v>27</v>
      </c>
      <c r="J11" s="45"/>
      <c r="K11" s="45"/>
      <c r="L11" s="43"/>
      <c r="M11" s="43"/>
      <c r="N11" s="43"/>
      <c r="O11" s="43"/>
      <c r="P11" s="43"/>
      <c r="Q11" s="43"/>
      <c r="R11" s="43"/>
      <c r="S11" s="45"/>
      <c r="T11" s="45"/>
      <c r="U11" s="43"/>
    </row>
    <row r="12" spans="1:21" ht="54" customHeight="1" x14ac:dyDescent="0.3">
      <c r="A12" s="44">
        <v>11</v>
      </c>
      <c r="B12" s="45" t="s">
        <v>21</v>
      </c>
      <c r="C12" s="45" t="s">
        <v>56</v>
      </c>
      <c r="D12" s="45" t="s">
        <v>57</v>
      </c>
      <c r="E12" s="45" t="s">
        <v>24</v>
      </c>
      <c r="F12" s="45" t="s">
        <v>56</v>
      </c>
      <c r="G12" s="43" t="s">
        <v>58</v>
      </c>
      <c r="H12" s="43" t="s">
        <v>59</v>
      </c>
      <c r="I12" s="45" t="s">
        <v>27</v>
      </c>
      <c r="J12" s="45"/>
      <c r="K12" s="45"/>
      <c r="L12" s="43"/>
      <c r="M12" s="43"/>
      <c r="N12" s="43"/>
      <c r="O12" s="43"/>
      <c r="P12" s="43"/>
      <c r="Q12" s="43"/>
      <c r="R12" s="43"/>
      <c r="S12" s="45"/>
      <c r="T12" s="45"/>
      <c r="U12" s="43"/>
    </row>
    <row r="13" spans="1:21" ht="54" customHeight="1" x14ac:dyDescent="0.3">
      <c r="A13" s="44">
        <v>12</v>
      </c>
      <c r="B13" s="45" t="s">
        <v>21</v>
      </c>
      <c r="C13" s="45" t="s">
        <v>56</v>
      </c>
      <c r="D13" s="45" t="s">
        <v>60</v>
      </c>
      <c r="E13" s="45" t="s">
        <v>24</v>
      </c>
      <c r="F13" s="45" t="s">
        <v>56</v>
      </c>
      <c r="G13" s="43" t="s">
        <v>61</v>
      </c>
      <c r="H13" s="43" t="s">
        <v>62</v>
      </c>
      <c r="I13" s="45" t="s">
        <v>27</v>
      </c>
      <c r="J13" s="45"/>
      <c r="K13" s="45"/>
      <c r="L13" s="43"/>
      <c r="M13" s="43"/>
      <c r="N13" s="43"/>
      <c r="O13" s="43"/>
      <c r="P13" s="43"/>
      <c r="Q13" s="43"/>
      <c r="R13" s="43"/>
      <c r="S13" s="45"/>
      <c r="T13" s="45"/>
      <c r="U13" s="43"/>
    </row>
    <row r="14" spans="1:21" ht="54" customHeight="1" x14ac:dyDescent="0.3">
      <c r="A14" s="44">
        <v>13</v>
      </c>
      <c r="B14" s="45" t="s">
        <v>21</v>
      </c>
      <c r="C14" s="45" t="s">
        <v>56</v>
      </c>
      <c r="D14" s="45" t="s">
        <v>63</v>
      </c>
      <c r="E14" s="45" t="s">
        <v>35</v>
      </c>
      <c r="F14" s="45" t="s">
        <v>56</v>
      </c>
      <c r="G14" s="43" t="s">
        <v>64</v>
      </c>
      <c r="H14" s="43" t="s">
        <v>65</v>
      </c>
      <c r="I14" s="45" t="s">
        <v>27</v>
      </c>
      <c r="J14" s="45"/>
      <c r="K14" s="45"/>
      <c r="L14" s="43"/>
      <c r="M14" s="43"/>
      <c r="N14" s="43"/>
      <c r="O14" s="43"/>
      <c r="P14" s="43"/>
      <c r="Q14" s="43"/>
      <c r="R14" s="43"/>
      <c r="S14" s="45"/>
      <c r="T14" s="45"/>
      <c r="U14" s="43"/>
    </row>
    <row r="15" spans="1:21" ht="54" customHeight="1" x14ac:dyDescent="0.3">
      <c r="A15" s="44">
        <v>14</v>
      </c>
      <c r="B15" s="45" t="s">
        <v>21</v>
      </c>
      <c r="C15" s="45" t="s">
        <v>56</v>
      </c>
      <c r="D15" s="45" t="s">
        <v>66</v>
      </c>
      <c r="E15" s="45" t="s">
        <v>24</v>
      </c>
      <c r="F15" s="45" t="s">
        <v>56</v>
      </c>
      <c r="G15" s="43" t="s">
        <v>67</v>
      </c>
      <c r="H15" s="43" t="s">
        <v>68</v>
      </c>
      <c r="I15" s="45" t="s">
        <v>27</v>
      </c>
      <c r="J15" s="45"/>
      <c r="K15" s="45"/>
      <c r="L15" s="43"/>
      <c r="M15" s="43"/>
      <c r="N15" s="43"/>
      <c r="O15" s="43"/>
      <c r="P15" s="43"/>
      <c r="Q15" s="43"/>
      <c r="R15" s="43"/>
      <c r="S15" s="45"/>
      <c r="T15" s="45"/>
      <c r="U15" s="43"/>
    </row>
    <row r="16" spans="1:21" ht="54" customHeight="1" x14ac:dyDescent="0.3">
      <c r="A16" s="44">
        <v>15</v>
      </c>
      <c r="B16" s="45" t="s">
        <v>21</v>
      </c>
      <c r="C16" s="45" t="s">
        <v>56</v>
      </c>
      <c r="D16" s="45" t="s">
        <v>69</v>
      </c>
      <c r="E16" s="45" t="s">
        <v>24</v>
      </c>
      <c r="F16" s="45" t="s">
        <v>56</v>
      </c>
      <c r="G16" s="43" t="s">
        <v>70</v>
      </c>
      <c r="H16" s="43" t="s">
        <v>71</v>
      </c>
      <c r="I16" s="45" t="s">
        <v>27</v>
      </c>
      <c r="J16" s="45"/>
      <c r="K16" s="45"/>
      <c r="L16" s="43"/>
      <c r="M16" s="43"/>
      <c r="N16" s="43"/>
      <c r="O16" s="43"/>
      <c r="P16" s="43"/>
      <c r="Q16" s="43"/>
      <c r="R16" s="43"/>
      <c r="S16" s="45"/>
      <c r="T16" s="45"/>
      <c r="U16" s="43"/>
    </row>
    <row r="17" spans="1:21" ht="54" customHeight="1" x14ac:dyDescent="0.3">
      <c r="A17" s="44">
        <v>16</v>
      </c>
      <c r="B17" s="45" t="s">
        <v>21</v>
      </c>
      <c r="C17" s="45" t="s">
        <v>56</v>
      </c>
      <c r="D17" s="45" t="s">
        <v>72</v>
      </c>
      <c r="E17" s="45" t="s">
        <v>24</v>
      </c>
      <c r="F17" s="45" t="s">
        <v>56</v>
      </c>
      <c r="G17" s="43" t="s">
        <v>73</v>
      </c>
      <c r="H17" s="43" t="s">
        <v>74</v>
      </c>
      <c r="I17" s="45" t="s">
        <v>27</v>
      </c>
      <c r="J17" s="45"/>
      <c r="K17" s="45"/>
      <c r="L17" s="43"/>
      <c r="M17" s="43"/>
      <c r="N17" s="43"/>
      <c r="O17" s="43"/>
      <c r="P17" s="43"/>
      <c r="Q17" s="43"/>
      <c r="R17" s="43"/>
      <c r="S17" s="45"/>
      <c r="T17" s="45"/>
      <c r="U17" s="43"/>
    </row>
    <row r="18" spans="1:21" ht="54" customHeight="1" x14ac:dyDescent="0.3">
      <c r="A18" s="44">
        <v>17</v>
      </c>
      <c r="B18" s="45" t="s">
        <v>21</v>
      </c>
      <c r="C18" s="45" t="s">
        <v>56</v>
      </c>
      <c r="D18" s="45" t="s">
        <v>75</v>
      </c>
      <c r="E18" s="45" t="s">
        <v>24</v>
      </c>
      <c r="F18" s="45" t="s">
        <v>56</v>
      </c>
      <c r="G18" s="43" t="s">
        <v>76</v>
      </c>
      <c r="H18" s="43" t="s">
        <v>77</v>
      </c>
      <c r="I18" s="45" t="s">
        <v>27</v>
      </c>
      <c r="J18" s="45"/>
      <c r="K18" s="45"/>
      <c r="L18" s="43"/>
      <c r="M18" s="43"/>
      <c r="N18" s="43"/>
      <c r="O18" s="43"/>
      <c r="P18" s="43"/>
      <c r="Q18" s="43"/>
      <c r="R18" s="43"/>
      <c r="S18" s="45"/>
      <c r="T18" s="45"/>
      <c r="U18" s="43"/>
    </row>
    <row r="19" spans="1:21" ht="54" customHeight="1" x14ac:dyDescent="0.3">
      <c r="A19" s="44">
        <v>18</v>
      </c>
      <c r="B19" s="45" t="s">
        <v>21</v>
      </c>
      <c r="C19" s="45" t="s">
        <v>56</v>
      </c>
      <c r="D19" s="45" t="s">
        <v>78</v>
      </c>
      <c r="E19" s="45" t="s">
        <v>35</v>
      </c>
      <c r="F19" s="45" t="s">
        <v>56</v>
      </c>
      <c r="G19" s="43" t="s">
        <v>79</v>
      </c>
      <c r="H19" s="43" t="s">
        <v>80</v>
      </c>
      <c r="I19" s="45" t="s">
        <v>27</v>
      </c>
      <c r="J19" s="45"/>
      <c r="K19" s="45"/>
      <c r="L19" s="43"/>
      <c r="M19" s="43"/>
      <c r="N19" s="43"/>
      <c r="O19" s="43"/>
      <c r="P19" s="43"/>
      <c r="Q19" s="43"/>
      <c r="R19" s="43"/>
      <c r="S19" s="45"/>
      <c r="T19" s="45"/>
      <c r="U19" s="43"/>
    </row>
    <row r="20" spans="1:21" ht="54" customHeight="1" x14ac:dyDescent="0.3">
      <c r="A20" s="44">
        <v>19</v>
      </c>
      <c r="B20" s="45" t="s">
        <v>21</v>
      </c>
      <c r="C20" s="45" t="s">
        <v>56</v>
      </c>
      <c r="D20" s="45" t="s">
        <v>81</v>
      </c>
      <c r="E20" s="45" t="s">
        <v>35</v>
      </c>
      <c r="F20" s="45" t="s">
        <v>56</v>
      </c>
      <c r="G20" s="43" t="s">
        <v>82</v>
      </c>
      <c r="H20" s="43" t="s">
        <v>83</v>
      </c>
      <c r="I20" s="45" t="s">
        <v>27</v>
      </c>
      <c r="J20" s="45"/>
      <c r="K20" s="45"/>
      <c r="L20" s="43"/>
      <c r="M20" s="43"/>
      <c r="N20" s="43"/>
      <c r="O20" s="43"/>
      <c r="P20" s="43"/>
      <c r="Q20" s="43"/>
      <c r="R20" s="43"/>
      <c r="S20" s="45"/>
      <c r="T20" s="45"/>
      <c r="U20" s="43"/>
    </row>
    <row r="21" spans="1:21" ht="54" customHeight="1" x14ac:dyDescent="0.3">
      <c r="A21" s="44">
        <v>20</v>
      </c>
      <c r="B21" s="45" t="s">
        <v>21</v>
      </c>
      <c r="C21" s="45" t="s">
        <v>56</v>
      </c>
      <c r="D21" s="45" t="s">
        <v>84</v>
      </c>
      <c r="E21" s="45" t="s">
        <v>35</v>
      </c>
      <c r="F21" s="45" t="s">
        <v>56</v>
      </c>
      <c r="G21" s="43" t="s">
        <v>85</v>
      </c>
      <c r="H21" s="43" t="s">
        <v>86</v>
      </c>
      <c r="I21" s="45" t="s">
        <v>27</v>
      </c>
      <c r="J21" s="45"/>
      <c r="K21" s="45"/>
      <c r="L21" s="43"/>
      <c r="M21" s="43"/>
      <c r="N21" s="43"/>
      <c r="O21" s="43"/>
      <c r="P21" s="43"/>
      <c r="Q21" s="43"/>
      <c r="R21" s="43"/>
      <c r="S21" s="45"/>
      <c r="T21" s="45"/>
      <c r="U21" s="43"/>
    </row>
    <row r="22" spans="1:21" ht="54" customHeight="1" x14ac:dyDescent="0.3">
      <c r="A22" s="44">
        <v>21</v>
      </c>
      <c r="B22" s="45" t="s">
        <v>21</v>
      </c>
      <c r="C22" s="45" t="s">
        <v>87</v>
      </c>
      <c r="D22" s="45" t="s">
        <v>88</v>
      </c>
      <c r="E22" s="45" t="s">
        <v>24</v>
      </c>
      <c r="F22" s="45" t="s">
        <v>87</v>
      </c>
      <c r="G22" s="43" t="s">
        <v>89</v>
      </c>
      <c r="H22" s="43" t="s">
        <v>90</v>
      </c>
      <c r="I22" s="45" t="s">
        <v>27</v>
      </c>
      <c r="J22" s="45"/>
      <c r="K22" s="45"/>
      <c r="L22" s="43"/>
      <c r="M22" s="43"/>
      <c r="N22" s="43"/>
      <c r="O22" s="43"/>
      <c r="P22" s="43"/>
      <c r="Q22" s="43"/>
      <c r="R22" s="43"/>
      <c r="S22" s="45"/>
      <c r="T22" s="45"/>
      <c r="U22" s="43"/>
    </row>
    <row r="23" spans="1:21" ht="54" customHeight="1" x14ac:dyDescent="0.3">
      <c r="A23" s="44">
        <v>22</v>
      </c>
      <c r="B23" s="45" t="s">
        <v>21</v>
      </c>
      <c r="C23" s="45" t="s">
        <v>87</v>
      </c>
      <c r="D23" s="45" t="s">
        <v>91</v>
      </c>
      <c r="E23" s="45" t="s">
        <v>24</v>
      </c>
      <c r="F23" s="45" t="s">
        <v>87</v>
      </c>
      <c r="G23" s="43" t="s">
        <v>92</v>
      </c>
      <c r="H23" s="43" t="s">
        <v>93</v>
      </c>
      <c r="I23" s="45" t="s">
        <v>27</v>
      </c>
      <c r="J23" s="45"/>
      <c r="K23" s="45"/>
      <c r="L23" s="43"/>
      <c r="M23" s="43"/>
      <c r="N23" s="43"/>
      <c r="O23" s="43"/>
      <c r="P23" s="43"/>
      <c r="Q23" s="43"/>
      <c r="R23" s="43"/>
      <c r="S23" s="45"/>
      <c r="T23" s="45"/>
      <c r="U23" s="43"/>
    </row>
    <row r="24" spans="1:21" ht="54" customHeight="1" x14ac:dyDescent="0.3">
      <c r="A24" s="44">
        <v>23</v>
      </c>
      <c r="B24" s="45" t="s">
        <v>21</v>
      </c>
      <c r="C24" s="45" t="s">
        <v>87</v>
      </c>
      <c r="D24" s="45" t="s">
        <v>94</v>
      </c>
      <c r="E24" s="45" t="s">
        <v>24</v>
      </c>
      <c r="F24" s="45" t="s">
        <v>87</v>
      </c>
      <c r="G24" s="43" t="s">
        <v>95</v>
      </c>
      <c r="H24" s="43" t="s">
        <v>96</v>
      </c>
      <c r="I24" s="45" t="s">
        <v>27</v>
      </c>
      <c r="J24" s="45"/>
      <c r="K24" s="45"/>
      <c r="L24" s="43"/>
      <c r="M24" s="43"/>
      <c r="N24" s="43"/>
      <c r="O24" s="43"/>
      <c r="P24" s="43"/>
      <c r="Q24" s="43"/>
      <c r="R24" s="43"/>
      <c r="S24" s="45"/>
      <c r="T24" s="45"/>
      <c r="U24" s="43"/>
    </row>
    <row r="25" spans="1:21" ht="54" customHeight="1" x14ac:dyDescent="0.3">
      <c r="A25" s="44">
        <v>24</v>
      </c>
      <c r="B25" s="45" t="s">
        <v>21</v>
      </c>
      <c r="C25" s="45" t="s">
        <v>87</v>
      </c>
      <c r="D25" s="45" t="s">
        <v>97</v>
      </c>
      <c r="E25" s="45" t="s">
        <v>24</v>
      </c>
      <c r="F25" s="45" t="s">
        <v>87</v>
      </c>
      <c r="G25" s="43" t="s">
        <v>98</v>
      </c>
      <c r="H25" s="43" t="s">
        <v>99</v>
      </c>
      <c r="I25" s="45" t="s">
        <v>27</v>
      </c>
      <c r="J25" s="45"/>
      <c r="K25" s="45"/>
      <c r="L25" s="43"/>
      <c r="M25" s="43"/>
      <c r="N25" s="43"/>
      <c r="O25" s="43"/>
      <c r="P25" s="43"/>
      <c r="Q25" s="43"/>
      <c r="R25" s="43"/>
      <c r="S25" s="45"/>
      <c r="T25" s="45"/>
      <c r="U25" s="43"/>
    </row>
    <row r="26" spans="1:21" ht="54" customHeight="1" x14ac:dyDescent="0.3">
      <c r="A26" s="44">
        <v>25</v>
      </c>
      <c r="B26" s="45" t="s">
        <v>21</v>
      </c>
      <c r="C26" s="45" t="s">
        <v>87</v>
      </c>
      <c r="D26" s="45" t="s">
        <v>100</v>
      </c>
      <c r="E26" s="45" t="s">
        <v>24</v>
      </c>
      <c r="F26" s="45" t="s">
        <v>87</v>
      </c>
      <c r="G26" s="43" t="s">
        <v>101</v>
      </c>
      <c r="H26" s="43" t="s">
        <v>102</v>
      </c>
      <c r="I26" s="45" t="s">
        <v>27</v>
      </c>
      <c r="J26" s="45"/>
      <c r="K26" s="45"/>
      <c r="L26" s="43"/>
      <c r="M26" s="43"/>
      <c r="N26" s="43"/>
      <c r="O26" s="43"/>
      <c r="P26" s="43"/>
      <c r="Q26" s="43"/>
      <c r="R26" s="43"/>
      <c r="S26" s="45"/>
      <c r="T26" s="45"/>
      <c r="U26" s="43"/>
    </row>
    <row r="27" spans="1:21" ht="54" customHeight="1" x14ac:dyDescent="0.3">
      <c r="A27" s="44">
        <v>26</v>
      </c>
      <c r="B27" s="45" t="s">
        <v>21</v>
      </c>
      <c r="C27" s="45" t="s">
        <v>87</v>
      </c>
      <c r="D27" s="45" t="s">
        <v>103</v>
      </c>
      <c r="E27" s="45" t="s">
        <v>24</v>
      </c>
      <c r="F27" s="45" t="s">
        <v>87</v>
      </c>
      <c r="G27" s="43" t="s">
        <v>104</v>
      </c>
      <c r="H27" s="43" t="s">
        <v>105</v>
      </c>
      <c r="I27" s="45" t="s">
        <v>27</v>
      </c>
      <c r="J27" s="45"/>
      <c r="K27" s="45"/>
      <c r="L27" s="43"/>
      <c r="M27" s="43"/>
      <c r="N27" s="43"/>
      <c r="O27" s="43"/>
      <c r="P27" s="43"/>
      <c r="Q27" s="43"/>
      <c r="R27" s="43"/>
      <c r="S27" s="45"/>
      <c r="T27" s="45"/>
      <c r="U27" s="43"/>
    </row>
    <row r="28" spans="1:21" ht="54" customHeight="1" x14ac:dyDescent="0.3">
      <c r="A28" s="44">
        <v>27</v>
      </c>
      <c r="B28" s="45" t="s">
        <v>21</v>
      </c>
      <c r="C28" s="45" t="s">
        <v>87</v>
      </c>
      <c r="D28" s="45" t="s">
        <v>106</v>
      </c>
      <c r="E28" s="45" t="s">
        <v>35</v>
      </c>
      <c r="F28" s="45" t="s">
        <v>87</v>
      </c>
      <c r="G28" s="43" t="s">
        <v>107</v>
      </c>
      <c r="H28" s="43" t="s">
        <v>108</v>
      </c>
      <c r="I28" s="45" t="s">
        <v>27</v>
      </c>
      <c r="J28" s="45"/>
      <c r="K28" s="45"/>
      <c r="L28" s="43"/>
      <c r="M28" s="43"/>
      <c r="N28" s="43"/>
      <c r="O28" s="43"/>
      <c r="P28" s="43"/>
      <c r="Q28" s="43"/>
      <c r="R28" s="43"/>
      <c r="S28" s="45"/>
      <c r="T28" s="45"/>
      <c r="U28" s="43"/>
    </row>
    <row r="29" spans="1:21" ht="54" customHeight="1" x14ac:dyDescent="0.3">
      <c r="A29" s="44">
        <v>28</v>
      </c>
      <c r="B29" s="45" t="s">
        <v>21</v>
      </c>
      <c r="C29" s="45" t="s">
        <v>87</v>
      </c>
      <c r="D29" s="45" t="s">
        <v>109</v>
      </c>
      <c r="E29" s="45" t="s">
        <v>35</v>
      </c>
      <c r="F29" s="45" t="s">
        <v>87</v>
      </c>
      <c r="G29" s="43" t="s">
        <v>110</v>
      </c>
      <c r="H29" s="43" t="s">
        <v>111</v>
      </c>
      <c r="I29" s="45" t="s">
        <v>27</v>
      </c>
      <c r="J29" s="45"/>
      <c r="K29" s="45"/>
      <c r="L29" s="43"/>
      <c r="M29" s="43"/>
      <c r="N29" s="43"/>
      <c r="O29" s="43"/>
      <c r="P29" s="43"/>
      <c r="Q29" s="43"/>
      <c r="R29" s="43"/>
      <c r="S29" s="45"/>
      <c r="T29" s="45"/>
      <c r="U29" s="43"/>
    </row>
    <row r="30" spans="1:21" ht="54" customHeight="1" x14ac:dyDescent="0.3">
      <c r="A30" s="44">
        <v>29</v>
      </c>
      <c r="B30" s="45" t="s">
        <v>21</v>
      </c>
      <c r="C30" s="45" t="s">
        <v>87</v>
      </c>
      <c r="D30" s="45" t="s">
        <v>112</v>
      </c>
      <c r="E30" s="45" t="s">
        <v>35</v>
      </c>
      <c r="F30" s="45" t="s">
        <v>87</v>
      </c>
      <c r="G30" s="43" t="s">
        <v>113</v>
      </c>
      <c r="H30" s="43" t="s">
        <v>114</v>
      </c>
      <c r="I30" s="45" t="s">
        <v>27</v>
      </c>
      <c r="J30" s="45"/>
      <c r="K30" s="45"/>
      <c r="L30" s="43"/>
      <c r="M30" s="43"/>
      <c r="N30" s="43"/>
      <c r="O30" s="43"/>
      <c r="P30" s="43"/>
      <c r="Q30" s="43"/>
      <c r="R30" s="43"/>
      <c r="S30" s="45"/>
      <c r="T30" s="45"/>
      <c r="U30" s="43"/>
    </row>
    <row r="31" spans="1:21" ht="54" customHeight="1" x14ac:dyDescent="0.3">
      <c r="A31" s="44">
        <v>30</v>
      </c>
      <c r="B31" s="45" t="s">
        <v>21</v>
      </c>
      <c r="C31" s="45" t="s">
        <v>87</v>
      </c>
      <c r="D31" s="45" t="s">
        <v>115</v>
      </c>
      <c r="E31" s="45" t="s">
        <v>24</v>
      </c>
      <c r="F31" s="45" t="s">
        <v>87</v>
      </c>
      <c r="G31" s="43" t="s">
        <v>116</v>
      </c>
      <c r="H31" s="43" t="s">
        <v>117</v>
      </c>
      <c r="I31" s="45" t="s">
        <v>27</v>
      </c>
      <c r="J31" s="45"/>
      <c r="K31" s="45"/>
      <c r="L31" s="43"/>
      <c r="M31" s="43"/>
      <c r="N31" s="43"/>
      <c r="O31" s="43"/>
      <c r="P31" s="43"/>
      <c r="Q31" s="43"/>
      <c r="R31" s="43"/>
      <c r="S31" s="45"/>
      <c r="T31" s="45"/>
      <c r="U31" s="43"/>
    </row>
    <row r="32" spans="1:21" ht="54" customHeight="1" x14ac:dyDescent="0.3">
      <c r="A32" s="44">
        <v>31</v>
      </c>
      <c r="B32" s="45" t="s">
        <v>21</v>
      </c>
      <c r="C32" s="45" t="s">
        <v>87</v>
      </c>
      <c r="D32" s="45" t="s">
        <v>118</v>
      </c>
      <c r="E32" s="45" t="s">
        <v>24</v>
      </c>
      <c r="F32" s="45" t="s">
        <v>87</v>
      </c>
      <c r="G32" s="43" t="s">
        <v>119</v>
      </c>
      <c r="H32" s="43" t="s">
        <v>120</v>
      </c>
      <c r="I32" s="45" t="s">
        <v>27</v>
      </c>
      <c r="J32" s="45"/>
      <c r="K32" s="45"/>
      <c r="L32" s="43"/>
      <c r="M32" s="43"/>
      <c r="N32" s="43"/>
      <c r="O32" s="43"/>
      <c r="P32" s="43"/>
      <c r="Q32" s="43"/>
      <c r="R32" s="43"/>
      <c r="S32" s="45"/>
      <c r="T32" s="45"/>
      <c r="U32" s="43"/>
    </row>
    <row r="33" spans="1:21" ht="54" customHeight="1" x14ac:dyDescent="0.3">
      <c r="A33" s="44">
        <v>32</v>
      </c>
      <c r="B33" s="45" t="s">
        <v>21</v>
      </c>
      <c r="C33" s="45" t="s">
        <v>87</v>
      </c>
      <c r="D33" s="45" t="s">
        <v>121</v>
      </c>
      <c r="E33" s="45" t="s">
        <v>24</v>
      </c>
      <c r="F33" s="45" t="s">
        <v>87</v>
      </c>
      <c r="G33" s="43" t="s">
        <v>122</v>
      </c>
      <c r="H33" s="43" t="s">
        <v>123</v>
      </c>
      <c r="I33" s="45" t="s">
        <v>27</v>
      </c>
      <c r="J33" s="45"/>
      <c r="K33" s="45"/>
      <c r="L33" s="43"/>
      <c r="M33" s="43"/>
      <c r="N33" s="43"/>
      <c r="O33" s="43"/>
      <c r="P33" s="43"/>
      <c r="Q33" s="43"/>
      <c r="R33" s="43"/>
      <c r="S33" s="45"/>
      <c r="T33" s="45"/>
      <c r="U33" s="43"/>
    </row>
    <row r="34" spans="1:21" ht="54" customHeight="1" x14ac:dyDescent="0.3">
      <c r="A34" s="44">
        <v>33</v>
      </c>
      <c r="B34" s="45" t="s">
        <v>21</v>
      </c>
      <c r="C34" s="45" t="s">
        <v>87</v>
      </c>
      <c r="D34" s="45" t="s">
        <v>124</v>
      </c>
      <c r="E34" s="45" t="s">
        <v>24</v>
      </c>
      <c r="F34" s="45" t="s">
        <v>87</v>
      </c>
      <c r="G34" s="43" t="s">
        <v>125</v>
      </c>
      <c r="H34" s="43" t="s">
        <v>126</v>
      </c>
      <c r="I34" s="45" t="s">
        <v>27</v>
      </c>
      <c r="J34" s="45"/>
      <c r="K34" s="45"/>
      <c r="L34" s="43"/>
      <c r="M34" s="43"/>
      <c r="N34" s="43"/>
      <c r="O34" s="43"/>
      <c r="P34" s="43"/>
      <c r="Q34" s="43"/>
      <c r="R34" s="43"/>
      <c r="S34" s="45"/>
      <c r="T34" s="45"/>
      <c r="U34" s="43"/>
    </row>
    <row r="35" spans="1:21" ht="54" customHeight="1" x14ac:dyDescent="0.3">
      <c r="A35" s="44">
        <v>34</v>
      </c>
      <c r="B35" s="45" t="s">
        <v>21</v>
      </c>
      <c r="C35" s="45" t="s">
        <v>87</v>
      </c>
      <c r="D35" s="45" t="s">
        <v>127</v>
      </c>
      <c r="E35" s="45" t="s">
        <v>24</v>
      </c>
      <c r="F35" s="45" t="s">
        <v>87</v>
      </c>
      <c r="G35" s="43" t="s">
        <v>128</v>
      </c>
      <c r="H35" s="43" t="s">
        <v>129</v>
      </c>
      <c r="I35" s="45" t="s">
        <v>27</v>
      </c>
      <c r="J35" s="45"/>
      <c r="K35" s="45"/>
      <c r="L35" s="43"/>
      <c r="M35" s="43"/>
      <c r="N35" s="43"/>
      <c r="O35" s="43"/>
      <c r="P35" s="43"/>
      <c r="Q35" s="43"/>
      <c r="R35" s="43"/>
      <c r="S35" s="45"/>
      <c r="T35" s="45"/>
      <c r="U35" s="43"/>
    </row>
    <row r="36" spans="1:21" ht="54" customHeight="1" x14ac:dyDescent="0.3">
      <c r="A36" s="44">
        <v>35</v>
      </c>
      <c r="B36" s="45" t="s">
        <v>21</v>
      </c>
      <c r="C36" s="45" t="s">
        <v>87</v>
      </c>
      <c r="D36" s="45" t="s">
        <v>130</v>
      </c>
      <c r="E36" s="45" t="s">
        <v>24</v>
      </c>
      <c r="F36" s="45" t="s">
        <v>87</v>
      </c>
      <c r="G36" s="43" t="s">
        <v>131</v>
      </c>
      <c r="H36" s="43" t="s">
        <v>132</v>
      </c>
      <c r="I36" s="45" t="s">
        <v>27</v>
      </c>
      <c r="J36" s="45"/>
      <c r="K36" s="45"/>
      <c r="L36" s="43"/>
      <c r="M36" s="43"/>
      <c r="N36" s="43"/>
      <c r="O36" s="43"/>
      <c r="P36" s="43"/>
      <c r="Q36" s="43"/>
      <c r="R36" s="43"/>
      <c r="S36" s="45"/>
      <c r="T36" s="45"/>
      <c r="U36" s="43"/>
    </row>
    <row r="37" spans="1:21" ht="54" customHeight="1" x14ac:dyDescent="0.3">
      <c r="A37" s="44">
        <v>36</v>
      </c>
      <c r="B37" s="45" t="s">
        <v>21</v>
      </c>
      <c r="C37" s="45" t="s">
        <v>87</v>
      </c>
      <c r="D37" s="45" t="s">
        <v>133</v>
      </c>
      <c r="E37" s="45" t="s">
        <v>35</v>
      </c>
      <c r="F37" s="45" t="s">
        <v>87</v>
      </c>
      <c r="G37" s="43" t="s">
        <v>134</v>
      </c>
      <c r="H37" s="43" t="s">
        <v>135</v>
      </c>
      <c r="I37" s="45" t="s">
        <v>27</v>
      </c>
      <c r="J37" s="45"/>
      <c r="K37" s="45"/>
      <c r="L37" s="43"/>
      <c r="M37" s="43"/>
      <c r="N37" s="43"/>
      <c r="O37" s="43"/>
      <c r="P37" s="43"/>
      <c r="Q37" s="43"/>
      <c r="R37" s="43"/>
      <c r="S37" s="45"/>
      <c r="T37" s="45"/>
      <c r="U37" s="43"/>
    </row>
    <row r="38" spans="1:21" ht="54" customHeight="1" x14ac:dyDescent="0.3">
      <c r="A38" s="44">
        <v>37</v>
      </c>
      <c r="B38" s="45" t="s">
        <v>21</v>
      </c>
      <c r="C38" s="45" t="s">
        <v>87</v>
      </c>
      <c r="D38" s="45" t="s">
        <v>136</v>
      </c>
      <c r="E38" s="45" t="s">
        <v>24</v>
      </c>
      <c r="F38" s="45" t="s">
        <v>87</v>
      </c>
      <c r="G38" s="43" t="s">
        <v>137</v>
      </c>
      <c r="H38" s="43" t="s">
        <v>138</v>
      </c>
      <c r="I38" s="45" t="s">
        <v>27</v>
      </c>
      <c r="J38" s="45"/>
      <c r="K38" s="45"/>
      <c r="L38" s="43"/>
      <c r="M38" s="43"/>
      <c r="N38" s="43"/>
      <c r="O38" s="43"/>
      <c r="P38" s="43"/>
      <c r="Q38" s="43"/>
      <c r="R38" s="43"/>
      <c r="S38" s="45"/>
      <c r="T38" s="45"/>
      <c r="U38" s="43"/>
    </row>
    <row r="39" spans="1:21" ht="54" customHeight="1" x14ac:dyDescent="0.3">
      <c r="A39" s="44">
        <v>38</v>
      </c>
      <c r="B39" s="45" t="s">
        <v>21</v>
      </c>
      <c r="C39" s="45" t="s">
        <v>87</v>
      </c>
      <c r="D39" s="45" t="s">
        <v>139</v>
      </c>
      <c r="E39" s="45" t="s">
        <v>24</v>
      </c>
      <c r="F39" s="45" t="s">
        <v>87</v>
      </c>
      <c r="G39" s="43" t="s">
        <v>140</v>
      </c>
      <c r="H39" s="43" t="s">
        <v>141</v>
      </c>
      <c r="I39" s="45" t="s">
        <v>27</v>
      </c>
      <c r="J39" s="45"/>
      <c r="K39" s="45"/>
      <c r="L39" s="43"/>
      <c r="M39" s="43"/>
      <c r="N39" s="43"/>
      <c r="O39" s="43"/>
      <c r="P39" s="43"/>
      <c r="Q39" s="43"/>
      <c r="R39" s="43"/>
      <c r="S39" s="45"/>
      <c r="T39" s="45"/>
      <c r="U39" s="43"/>
    </row>
    <row r="40" spans="1:21" ht="54" customHeight="1" x14ac:dyDescent="0.3">
      <c r="A40" s="44">
        <v>39</v>
      </c>
      <c r="B40" s="45" t="s">
        <v>21</v>
      </c>
      <c r="C40" s="45" t="s">
        <v>87</v>
      </c>
      <c r="D40" s="45" t="s">
        <v>142</v>
      </c>
      <c r="E40" s="45" t="s">
        <v>35</v>
      </c>
      <c r="F40" s="45" t="s">
        <v>87</v>
      </c>
      <c r="G40" s="43" t="s">
        <v>143</v>
      </c>
      <c r="H40" s="43" t="s">
        <v>144</v>
      </c>
      <c r="I40" s="45" t="s">
        <v>27</v>
      </c>
      <c r="J40" s="45"/>
      <c r="K40" s="45"/>
      <c r="L40" s="43"/>
      <c r="M40" s="43"/>
      <c r="N40" s="43"/>
      <c r="O40" s="43"/>
      <c r="P40" s="43"/>
      <c r="Q40" s="43"/>
      <c r="R40" s="43"/>
      <c r="S40" s="45"/>
      <c r="T40" s="45"/>
      <c r="U40" s="43"/>
    </row>
    <row r="41" spans="1:21" ht="54" customHeight="1" x14ac:dyDescent="0.3">
      <c r="A41" s="44">
        <v>40</v>
      </c>
      <c r="B41" s="45" t="s">
        <v>21</v>
      </c>
      <c r="C41" s="45" t="s">
        <v>87</v>
      </c>
      <c r="D41" s="45" t="s">
        <v>145</v>
      </c>
      <c r="E41" s="45" t="s">
        <v>35</v>
      </c>
      <c r="F41" s="45" t="s">
        <v>87</v>
      </c>
      <c r="G41" s="43" t="s">
        <v>146</v>
      </c>
      <c r="H41" s="43" t="s">
        <v>147</v>
      </c>
      <c r="I41" s="45" t="s">
        <v>27</v>
      </c>
      <c r="J41" s="45"/>
      <c r="K41" s="45"/>
      <c r="L41" s="43"/>
      <c r="M41" s="43"/>
      <c r="N41" s="43"/>
      <c r="O41" s="43"/>
      <c r="P41" s="43"/>
      <c r="Q41" s="43"/>
      <c r="R41" s="43"/>
      <c r="S41" s="45"/>
      <c r="T41" s="45"/>
      <c r="U41" s="43"/>
    </row>
    <row r="42" spans="1:21" ht="54" customHeight="1" x14ac:dyDescent="0.3">
      <c r="A42" s="44">
        <v>41</v>
      </c>
      <c r="B42" s="45" t="s">
        <v>21</v>
      </c>
      <c r="C42" s="45" t="s">
        <v>87</v>
      </c>
      <c r="D42" s="45" t="s">
        <v>148</v>
      </c>
      <c r="E42" s="45" t="s">
        <v>35</v>
      </c>
      <c r="F42" s="45" t="s">
        <v>87</v>
      </c>
      <c r="G42" s="43" t="s">
        <v>149</v>
      </c>
      <c r="H42" s="43" t="s">
        <v>150</v>
      </c>
      <c r="I42" s="45" t="s">
        <v>27</v>
      </c>
      <c r="J42" s="45"/>
      <c r="K42" s="45"/>
      <c r="L42" s="43"/>
      <c r="M42" s="43"/>
      <c r="N42" s="43"/>
      <c r="O42" s="43"/>
      <c r="P42" s="43"/>
      <c r="Q42" s="43"/>
      <c r="R42" s="43"/>
      <c r="S42" s="45"/>
      <c r="T42" s="45"/>
      <c r="U42" s="43"/>
    </row>
    <row r="43" spans="1:21" ht="54" customHeight="1" x14ac:dyDescent="0.3">
      <c r="A43" s="44">
        <v>42</v>
      </c>
      <c r="B43" s="45" t="s">
        <v>21</v>
      </c>
      <c r="C43" s="45" t="s">
        <v>87</v>
      </c>
      <c r="D43" s="45" t="s">
        <v>151</v>
      </c>
      <c r="E43" s="45" t="s">
        <v>35</v>
      </c>
      <c r="F43" s="45" t="s">
        <v>87</v>
      </c>
      <c r="G43" s="43" t="s">
        <v>152</v>
      </c>
      <c r="H43" s="43" t="s">
        <v>153</v>
      </c>
      <c r="I43" s="45" t="s">
        <v>27</v>
      </c>
      <c r="J43" s="45"/>
      <c r="K43" s="45"/>
      <c r="L43" s="43"/>
      <c r="M43" s="43"/>
      <c r="N43" s="43"/>
      <c r="O43" s="43"/>
      <c r="P43" s="43"/>
      <c r="Q43" s="43"/>
      <c r="R43" s="43"/>
      <c r="S43" s="45"/>
      <c r="T43" s="45"/>
      <c r="U43" s="43"/>
    </row>
    <row r="44" spans="1:21" ht="54" customHeight="1" x14ac:dyDescent="0.3">
      <c r="A44" s="44">
        <v>43</v>
      </c>
      <c r="B44" s="45" t="s">
        <v>21</v>
      </c>
      <c r="C44" s="45" t="s">
        <v>87</v>
      </c>
      <c r="D44" s="45" t="s">
        <v>154</v>
      </c>
      <c r="E44" s="45" t="s">
        <v>35</v>
      </c>
      <c r="F44" s="45" t="s">
        <v>87</v>
      </c>
      <c r="G44" s="43" t="s">
        <v>155</v>
      </c>
      <c r="H44" s="43" t="s">
        <v>156</v>
      </c>
      <c r="I44" s="45" t="s">
        <v>27</v>
      </c>
      <c r="J44" s="45"/>
      <c r="K44" s="45"/>
      <c r="L44" s="43"/>
      <c r="M44" s="43"/>
      <c r="N44" s="43"/>
      <c r="O44" s="43"/>
      <c r="P44" s="43"/>
      <c r="Q44" s="43"/>
      <c r="R44" s="43"/>
      <c r="S44" s="45"/>
      <c r="T44" s="45"/>
      <c r="U44" s="43"/>
    </row>
    <row r="45" spans="1:21" ht="54" customHeight="1" x14ac:dyDescent="0.3">
      <c r="A45" s="44">
        <v>44</v>
      </c>
      <c r="B45" s="45" t="s">
        <v>21</v>
      </c>
      <c r="C45" s="45" t="s">
        <v>87</v>
      </c>
      <c r="D45" s="45" t="s">
        <v>157</v>
      </c>
      <c r="E45" s="45" t="s">
        <v>24</v>
      </c>
      <c r="F45" s="45" t="s">
        <v>87</v>
      </c>
      <c r="G45" s="43" t="s">
        <v>158</v>
      </c>
      <c r="H45" s="43" t="s">
        <v>159</v>
      </c>
      <c r="I45" s="45" t="s">
        <v>27</v>
      </c>
      <c r="J45" s="45"/>
      <c r="K45" s="45"/>
      <c r="L45" s="43"/>
      <c r="M45" s="43"/>
      <c r="N45" s="43"/>
      <c r="O45" s="43"/>
      <c r="P45" s="43"/>
      <c r="Q45" s="43"/>
      <c r="R45" s="43"/>
      <c r="S45" s="45"/>
      <c r="T45" s="45"/>
      <c r="U45" s="43"/>
    </row>
    <row r="46" spans="1:21" ht="54" customHeight="1" x14ac:dyDescent="0.3">
      <c r="A46" s="44">
        <v>45</v>
      </c>
      <c r="B46" s="45" t="s">
        <v>21</v>
      </c>
      <c r="C46" s="45" t="s">
        <v>87</v>
      </c>
      <c r="D46" s="45" t="s">
        <v>160</v>
      </c>
      <c r="E46" s="45" t="s">
        <v>24</v>
      </c>
      <c r="F46" s="45" t="s">
        <v>87</v>
      </c>
      <c r="G46" s="43" t="s">
        <v>161</v>
      </c>
      <c r="H46" s="43" t="s">
        <v>162</v>
      </c>
      <c r="I46" s="45" t="s">
        <v>27</v>
      </c>
      <c r="J46" s="45"/>
      <c r="K46" s="45"/>
      <c r="L46" s="43"/>
      <c r="M46" s="43"/>
      <c r="N46" s="43"/>
      <c r="O46" s="43"/>
      <c r="P46" s="43"/>
      <c r="Q46" s="43"/>
      <c r="R46" s="43"/>
      <c r="S46" s="45"/>
      <c r="T46" s="45"/>
      <c r="U46" s="43"/>
    </row>
    <row r="47" spans="1:21" ht="54" customHeight="1" x14ac:dyDescent="0.3">
      <c r="A47" s="44">
        <v>46</v>
      </c>
      <c r="B47" s="45" t="s">
        <v>21</v>
      </c>
      <c r="C47" s="45" t="s">
        <v>163</v>
      </c>
      <c r="D47" s="45" t="s">
        <v>164</v>
      </c>
      <c r="E47" s="45" t="s">
        <v>35</v>
      </c>
      <c r="F47" s="45" t="s">
        <v>163</v>
      </c>
      <c r="G47" s="43" t="s">
        <v>165</v>
      </c>
      <c r="H47" s="43" t="s">
        <v>166</v>
      </c>
      <c r="I47" s="45" t="s">
        <v>27</v>
      </c>
      <c r="J47" s="45"/>
      <c r="K47" s="45"/>
      <c r="L47" s="43"/>
      <c r="M47" s="43"/>
      <c r="N47" s="43"/>
      <c r="O47" s="43"/>
      <c r="P47" s="43"/>
      <c r="Q47" s="43"/>
      <c r="R47" s="43"/>
      <c r="S47" s="45"/>
      <c r="T47" s="45"/>
      <c r="U47" s="43"/>
    </row>
    <row r="48" spans="1:21" ht="54" customHeight="1" x14ac:dyDescent="0.3">
      <c r="A48" s="44">
        <v>47</v>
      </c>
      <c r="B48" s="45" t="s">
        <v>21</v>
      </c>
      <c r="C48" s="45" t="s">
        <v>163</v>
      </c>
      <c r="D48" s="45" t="s">
        <v>167</v>
      </c>
      <c r="E48" s="45" t="s">
        <v>35</v>
      </c>
      <c r="F48" s="45" t="s">
        <v>163</v>
      </c>
      <c r="G48" s="43" t="s">
        <v>168</v>
      </c>
      <c r="H48" s="43" t="s">
        <v>169</v>
      </c>
      <c r="I48" s="45" t="s">
        <v>27</v>
      </c>
      <c r="J48" s="45"/>
      <c r="K48" s="45"/>
      <c r="L48" s="43"/>
      <c r="M48" s="43"/>
      <c r="N48" s="43"/>
      <c r="O48" s="43"/>
      <c r="P48" s="43"/>
      <c r="Q48" s="43"/>
      <c r="R48" s="43"/>
      <c r="S48" s="45"/>
      <c r="T48" s="45"/>
      <c r="U48" s="43"/>
    </row>
    <row r="49" spans="1:21" ht="54" customHeight="1" x14ac:dyDescent="0.3">
      <c r="A49" s="44">
        <v>48</v>
      </c>
      <c r="B49" s="45" t="s">
        <v>21</v>
      </c>
      <c r="C49" s="45" t="s">
        <v>163</v>
      </c>
      <c r="D49" s="45" t="s">
        <v>170</v>
      </c>
      <c r="E49" s="45" t="s">
        <v>24</v>
      </c>
      <c r="F49" s="45" t="s">
        <v>163</v>
      </c>
      <c r="G49" s="43" t="s">
        <v>171</v>
      </c>
      <c r="H49" s="43" t="s">
        <v>172</v>
      </c>
      <c r="I49" s="45" t="s">
        <v>27</v>
      </c>
      <c r="J49" s="45"/>
      <c r="K49" s="45"/>
      <c r="L49" s="43"/>
      <c r="M49" s="43"/>
      <c r="N49" s="43"/>
      <c r="O49" s="43"/>
      <c r="P49" s="43"/>
      <c r="Q49" s="43"/>
      <c r="R49" s="43"/>
      <c r="S49" s="45"/>
      <c r="T49" s="45"/>
      <c r="U49" s="43"/>
    </row>
    <row r="50" spans="1:21" ht="54" customHeight="1" x14ac:dyDescent="0.3">
      <c r="A50" s="44">
        <v>49</v>
      </c>
      <c r="B50" s="45" t="s">
        <v>21</v>
      </c>
      <c r="C50" s="45" t="s">
        <v>163</v>
      </c>
      <c r="D50" s="45" t="s">
        <v>173</v>
      </c>
      <c r="E50" s="45" t="s">
        <v>24</v>
      </c>
      <c r="F50" s="45" t="s">
        <v>163</v>
      </c>
      <c r="G50" s="43" t="s">
        <v>174</v>
      </c>
      <c r="H50" s="43" t="s">
        <v>175</v>
      </c>
      <c r="I50" s="45" t="s">
        <v>27</v>
      </c>
      <c r="J50" s="45"/>
      <c r="K50" s="45"/>
      <c r="L50" s="43"/>
      <c r="M50" s="43"/>
      <c r="N50" s="43"/>
      <c r="O50" s="43"/>
      <c r="P50" s="43"/>
      <c r="Q50" s="43"/>
      <c r="R50" s="43"/>
      <c r="S50" s="45"/>
      <c r="T50" s="45"/>
      <c r="U50" s="43"/>
    </row>
    <row r="51" spans="1:21" ht="54" customHeight="1" x14ac:dyDescent="0.3">
      <c r="A51" s="44">
        <v>50</v>
      </c>
      <c r="B51" s="45" t="s">
        <v>21</v>
      </c>
      <c r="C51" s="45" t="s">
        <v>163</v>
      </c>
      <c r="D51" s="45" t="s">
        <v>176</v>
      </c>
      <c r="E51" s="45" t="s">
        <v>35</v>
      </c>
      <c r="F51" s="45" t="s">
        <v>163</v>
      </c>
      <c r="G51" s="43" t="s">
        <v>177</v>
      </c>
      <c r="H51" s="43" t="s">
        <v>178</v>
      </c>
      <c r="I51" s="45" t="s">
        <v>27</v>
      </c>
      <c r="J51" s="45"/>
      <c r="K51" s="45"/>
      <c r="L51" s="43"/>
      <c r="M51" s="43"/>
      <c r="N51" s="43"/>
      <c r="O51" s="43"/>
      <c r="P51" s="43"/>
      <c r="Q51" s="43"/>
      <c r="R51" s="43"/>
      <c r="S51" s="45"/>
      <c r="T51" s="45"/>
      <c r="U51" s="43"/>
    </row>
    <row r="52" spans="1:21" ht="54" customHeight="1" x14ac:dyDescent="0.3">
      <c r="A52" s="44">
        <v>51</v>
      </c>
      <c r="B52" s="45" t="s">
        <v>21</v>
      </c>
      <c r="C52" s="45" t="s">
        <v>163</v>
      </c>
      <c r="D52" s="45" t="s">
        <v>179</v>
      </c>
      <c r="E52" s="45" t="s">
        <v>35</v>
      </c>
      <c r="F52" s="45" t="s">
        <v>163</v>
      </c>
      <c r="G52" s="43" t="s">
        <v>180</v>
      </c>
      <c r="H52" s="43" t="s">
        <v>181</v>
      </c>
      <c r="I52" s="45" t="s">
        <v>27</v>
      </c>
      <c r="J52" s="45"/>
      <c r="K52" s="45"/>
      <c r="L52" s="43"/>
      <c r="M52" s="43"/>
      <c r="N52" s="43"/>
      <c r="O52" s="43"/>
      <c r="P52" s="43"/>
      <c r="Q52" s="43"/>
      <c r="R52" s="43"/>
      <c r="S52" s="45"/>
      <c r="T52" s="45"/>
      <c r="U52" s="43"/>
    </row>
    <row r="53" spans="1:21" ht="54" customHeight="1" x14ac:dyDescent="0.3">
      <c r="A53" s="44">
        <v>52</v>
      </c>
      <c r="B53" s="45" t="s">
        <v>21</v>
      </c>
      <c r="C53" s="45" t="s">
        <v>163</v>
      </c>
      <c r="D53" s="45" t="s">
        <v>182</v>
      </c>
      <c r="E53" s="45" t="s">
        <v>35</v>
      </c>
      <c r="F53" s="45" t="s">
        <v>163</v>
      </c>
      <c r="G53" s="43" t="s">
        <v>183</v>
      </c>
      <c r="H53" s="43" t="s">
        <v>184</v>
      </c>
      <c r="I53" s="45" t="s">
        <v>27</v>
      </c>
      <c r="J53" s="45"/>
      <c r="K53" s="45"/>
      <c r="L53" s="43"/>
      <c r="M53" s="43"/>
      <c r="N53" s="43"/>
      <c r="O53" s="43"/>
      <c r="P53" s="43"/>
      <c r="Q53" s="43"/>
      <c r="R53" s="43"/>
      <c r="S53" s="45"/>
      <c r="T53" s="45"/>
      <c r="U53" s="43"/>
    </row>
    <row r="54" spans="1:21" ht="54" customHeight="1" x14ac:dyDescent="0.3">
      <c r="A54" s="44">
        <v>53</v>
      </c>
      <c r="B54" s="45" t="s">
        <v>21</v>
      </c>
      <c r="C54" s="45" t="s">
        <v>163</v>
      </c>
      <c r="D54" s="45" t="s">
        <v>185</v>
      </c>
      <c r="E54" s="45" t="s">
        <v>35</v>
      </c>
      <c r="F54" s="45" t="s">
        <v>163</v>
      </c>
      <c r="G54" s="43" t="s">
        <v>186</v>
      </c>
      <c r="H54" s="43" t="s">
        <v>187</v>
      </c>
      <c r="I54" s="45" t="s">
        <v>27</v>
      </c>
      <c r="J54" s="45"/>
      <c r="K54" s="45"/>
      <c r="L54" s="43"/>
      <c r="M54" s="43"/>
      <c r="N54" s="43"/>
      <c r="O54" s="43"/>
      <c r="P54" s="43"/>
      <c r="Q54" s="43"/>
      <c r="R54" s="43"/>
      <c r="S54" s="45"/>
      <c r="T54" s="45"/>
      <c r="U54" s="43"/>
    </row>
    <row r="55" spans="1:21" ht="54" customHeight="1" x14ac:dyDescent="0.3">
      <c r="A55" s="44">
        <v>54</v>
      </c>
      <c r="B55" s="45" t="s">
        <v>21</v>
      </c>
      <c r="C55" s="45" t="s">
        <v>163</v>
      </c>
      <c r="D55" s="45" t="s">
        <v>188</v>
      </c>
      <c r="E55" s="45" t="s">
        <v>35</v>
      </c>
      <c r="F55" s="45" t="s">
        <v>163</v>
      </c>
      <c r="G55" s="43" t="s">
        <v>189</v>
      </c>
      <c r="H55" s="43" t="s">
        <v>190</v>
      </c>
      <c r="I55" s="45" t="s">
        <v>27</v>
      </c>
      <c r="J55" s="45"/>
      <c r="K55" s="45"/>
      <c r="L55" s="43"/>
      <c r="M55" s="43"/>
      <c r="N55" s="43"/>
      <c r="O55" s="43"/>
      <c r="P55" s="43"/>
      <c r="Q55" s="43"/>
      <c r="R55" s="43"/>
      <c r="S55" s="45"/>
      <c r="T55" s="45"/>
      <c r="U55" s="43"/>
    </row>
    <row r="56" spans="1:21" ht="54" customHeight="1" x14ac:dyDescent="0.3">
      <c r="A56" s="44">
        <v>55</v>
      </c>
      <c r="B56" s="45" t="s">
        <v>21</v>
      </c>
      <c r="C56" s="45" t="s">
        <v>163</v>
      </c>
      <c r="D56" s="45" t="s">
        <v>191</v>
      </c>
      <c r="E56" s="45" t="s">
        <v>35</v>
      </c>
      <c r="F56" s="45" t="s">
        <v>163</v>
      </c>
      <c r="G56" s="43" t="s">
        <v>192</v>
      </c>
      <c r="H56" s="43" t="s">
        <v>193</v>
      </c>
      <c r="I56" s="45" t="s">
        <v>27</v>
      </c>
      <c r="J56" s="45"/>
      <c r="K56" s="45"/>
      <c r="L56" s="43"/>
      <c r="M56" s="43"/>
      <c r="N56" s="43"/>
      <c r="O56" s="43"/>
      <c r="P56" s="43"/>
      <c r="Q56" s="43"/>
      <c r="R56" s="43"/>
      <c r="S56" s="45"/>
      <c r="T56" s="45"/>
      <c r="U56" s="43"/>
    </row>
    <row r="57" spans="1:21" ht="54" customHeight="1" x14ac:dyDescent="0.3">
      <c r="A57" s="44">
        <v>56</v>
      </c>
      <c r="B57" s="45" t="s">
        <v>21</v>
      </c>
      <c r="C57" s="45" t="s">
        <v>194</v>
      </c>
      <c r="D57" s="45" t="s">
        <v>195</v>
      </c>
      <c r="E57" s="45" t="s">
        <v>24</v>
      </c>
      <c r="F57" s="45" t="s">
        <v>194</v>
      </c>
      <c r="G57" s="43" t="s">
        <v>196</v>
      </c>
      <c r="H57" s="43" t="s">
        <v>197</v>
      </c>
      <c r="I57" s="45" t="s">
        <v>27</v>
      </c>
      <c r="J57" s="45"/>
      <c r="K57" s="45"/>
      <c r="L57" s="43"/>
      <c r="M57" s="43"/>
      <c r="N57" s="43"/>
      <c r="O57" s="43"/>
      <c r="P57" s="43"/>
      <c r="Q57" s="43"/>
      <c r="R57" s="43"/>
      <c r="S57" s="45"/>
      <c r="T57" s="45"/>
      <c r="U57" s="43"/>
    </row>
    <row r="58" spans="1:21" ht="54" customHeight="1" x14ac:dyDescent="0.3">
      <c r="A58" s="44">
        <v>57</v>
      </c>
      <c r="B58" s="45" t="s">
        <v>21</v>
      </c>
      <c r="C58" s="45" t="s">
        <v>194</v>
      </c>
      <c r="D58" s="45" t="s">
        <v>198</v>
      </c>
      <c r="E58" s="45" t="s">
        <v>35</v>
      </c>
      <c r="F58" s="45" t="s">
        <v>194</v>
      </c>
      <c r="G58" s="43" t="s">
        <v>199</v>
      </c>
      <c r="H58" s="43" t="s">
        <v>200</v>
      </c>
      <c r="I58" s="45" t="s">
        <v>27</v>
      </c>
      <c r="J58" s="45"/>
      <c r="K58" s="45"/>
      <c r="L58" s="43"/>
      <c r="M58" s="43"/>
      <c r="N58" s="43"/>
      <c r="O58" s="43"/>
      <c r="P58" s="43"/>
      <c r="Q58" s="43"/>
      <c r="R58" s="43"/>
      <c r="S58" s="45"/>
      <c r="T58" s="45"/>
      <c r="U58" s="43"/>
    </row>
    <row r="59" spans="1:21" ht="54" customHeight="1" x14ac:dyDescent="0.3">
      <c r="A59" s="44">
        <v>58</v>
      </c>
      <c r="B59" s="45" t="s">
        <v>21</v>
      </c>
      <c r="C59" s="45" t="s">
        <v>194</v>
      </c>
      <c r="D59" s="45" t="s">
        <v>201</v>
      </c>
      <c r="E59" s="45" t="s">
        <v>24</v>
      </c>
      <c r="F59" s="45" t="s">
        <v>194</v>
      </c>
      <c r="G59" s="43" t="s">
        <v>202</v>
      </c>
      <c r="H59" s="43" t="s">
        <v>203</v>
      </c>
      <c r="I59" s="45" t="s">
        <v>27</v>
      </c>
      <c r="J59" s="45"/>
      <c r="K59" s="45"/>
      <c r="L59" s="43"/>
      <c r="M59" s="43"/>
      <c r="N59" s="43"/>
      <c r="O59" s="43"/>
      <c r="P59" s="43"/>
      <c r="Q59" s="43"/>
      <c r="R59" s="43"/>
      <c r="S59" s="45"/>
      <c r="T59" s="45"/>
      <c r="U59" s="43"/>
    </row>
    <row r="60" spans="1:21" ht="54" customHeight="1" x14ac:dyDescent="0.3">
      <c r="A60" s="44">
        <v>59</v>
      </c>
      <c r="B60" s="45" t="s">
        <v>21</v>
      </c>
      <c r="C60" s="45" t="s">
        <v>194</v>
      </c>
      <c r="D60" s="45" t="s">
        <v>204</v>
      </c>
      <c r="E60" s="45" t="s">
        <v>35</v>
      </c>
      <c r="F60" s="45" t="s">
        <v>194</v>
      </c>
      <c r="G60" s="43" t="s">
        <v>205</v>
      </c>
      <c r="H60" s="43" t="s">
        <v>206</v>
      </c>
      <c r="I60" s="45" t="s">
        <v>27</v>
      </c>
      <c r="J60" s="45"/>
      <c r="K60" s="45"/>
      <c r="L60" s="43"/>
      <c r="M60" s="43"/>
      <c r="N60" s="43"/>
      <c r="O60" s="43"/>
      <c r="P60" s="43"/>
      <c r="Q60" s="43"/>
      <c r="R60" s="43"/>
      <c r="S60" s="45"/>
      <c r="T60" s="45"/>
      <c r="U60" s="43"/>
    </row>
    <row r="61" spans="1:21" ht="54" customHeight="1" x14ac:dyDescent="0.3">
      <c r="A61" s="44">
        <v>60</v>
      </c>
      <c r="B61" s="45" t="s">
        <v>21</v>
      </c>
      <c r="C61" s="45" t="s">
        <v>194</v>
      </c>
      <c r="D61" s="45" t="s">
        <v>207</v>
      </c>
      <c r="E61" s="45" t="s">
        <v>35</v>
      </c>
      <c r="F61" s="45" t="s">
        <v>194</v>
      </c>
      <c r="G61" s="43" t="s">
        <v>208</v>
      </c>
      <c r="H61" s="43" t="s">
        <v>209</v>
      </c>
      <c r="I61" s="45" t="s">
        <v>27</v>
      </c>
      <c r="J61" s="45"/>
      <c r="K61" s="45"/>
      <c r="L61" s="43"/>
      <c r="M61" s="43"/>
      <c r="N61" s="43"/>
      <c r="O61" s="43"/>
      <c r="P61" s="43"/>
      <c r="Q61" s="43"/>
      <c r="R61" s="43"/>
      <c r="S61" s="45"/>
      <c r="T61" s="45"/>
      <c r="U61" s="43"/>
    </row>
    <row r="62" spans="1:21" ht="54" customHeight="1" x14ac:dyDescent="0.3">
      <c r="A62" s="44">
        <v>61</v>
      </c>
      <c r="B62" s="45" t="s">
        <v>21</v>
      </c>
      <c r="C62" s="45" t="s">
        <v>194</v>
      </c>
      <c r="D62" s="45" t="s">
        <v>210</v>
      </c>
      <c r="E62" s="45" t="s">
        <v>35</v>
      </c>
      <c r="F62" s="45" t="s">
        <v>194</v>
      </c>
      <c r="G62" s="43" t="s">
        <v>211</v>
      </c>
      <c r="H62" s="43" t="s">
        <v>212</v>
      </c>
      <c r="I62" s="45" t="s">
        <v>27</v>
      </c>
      <c r="J62" s="45"/>
      <c r="K62" s="45"/>
      <c r="L62" s="43"/>
      <c r="M62" s="43"/>
      <c r="N62" s="43"/>
      <c r="O62" s="43"/>
      <c r="P62" s="43"/>
      <c r="Q62" s="43"/>
      <c r="R62" s="43"/>
      <c r="S62" s="45"/>
      <c r="T62" s="45"/>
      <c r="U62" s="43"/>
    </row>
    <row r="63" spans="1:21" ht="54" customHeight="1" x14ac:dyDescent="0.3">
      <c r="A63" s="44">
        <v>62</v>
      </c>
      <c r="B63" s="45" t="s">
        <v>21</v>
      </c>
      <c r="C63" s="45" t="s">
        <v>194</v>
      </c>
      <c r="D63" s="45" t="s">
        <v>213</v>
      </c>
      <c r="E63" s="45" t="s">
        <v>35</v>
      </c>
      <c r="F63" s="45" t="s">
        <v>194</v>
      </c>
      <c r="G63" s="43" t="s">
        <v>214</v>
      </c>
      <c r="H63" s="43" t="s">
        <v>215</v>
      </c>
      <c r="I63" s="45" t="s">
        <v>27</v>
      </c>
      <c r="J63" s="45"/>
      <c r="K63" s="45"/>
      <c r="L63" s="43"/>
      <c r="M63" s="43"/>
      <c r="N63" s="43"/>
      <c r="O63" s="43"/>
      <c r="P63" s="43"/>
      <c r="Q63" s="43"/>
      <c r="R63" s="43"/>
      <c r="S63" s="45"/>
      <c r="T63" s="45"/>
      <c r="U63" s="43"/>
    </row>
    <row r="64" spans="1:21" ht="54" customHeight="1" x14ac:dyDescent="0.3">
      <c r="A64" s="44">
        <v>63</v>
      </c>
      <c r="B64" s="45" t="s">
        <v>21</v>
      </c>
      <c r="C64" s="45" t="s">
        <v>194</v>
      </c>
      <c r="D64" s="45" t="s">
        <v>216</v>
      </c>
      <c r="E64" s="45" t="s">
        <v>35</v>
      </c>
      <c r="F64" s="45" t="s">
        <v>194</v>
      </c>
      <c r="G64" s="43" t="s">
        <v>217</v>
      </c>
      <c r="H64" s="43" t="s">
        <v>218</v>
      </c>
      <c r="I64" s="45" t="s">
        <v>27</v>
      </c>
      <c r="J64" s="45"/>
      <c r="K64" s="45"/>
      <c r="L64" s="43"/>
      <c r="M64" s="43"/>
      <c r="N64" s="43"/>
      <c r="O64" s="43"/>
      <c r="P64" s="43"/>
      <c r="Q64" s="43"/>
      <c r="R64" s="43"/>
      <c r="S64" s="45"/>
      <c r="T64" s="45"/>
      <c r="U64" s="43"/>
    </row>
    <row r="65" spans="1:21" ht="54" customHeight="1" x14ac:dyDescent="0.3">
      <c r="A65" s="44">
        <v>64</v>
      </c>
      <c r="B65" s="45" t="s">
        <v>21</v>
      </c>
      <c r="C65" s="45" t="s">
        <v>219</v>
      </c>
      <c r="D65" s="45" t="s">
        <v>220</v>
      </c>
      <c r="E65" s="45" t="s">
        <v>24</v>
      </c>
      <c r="F65" s="45" t="s">
        <v>219</v>
      </c>
      <c r="G65" s="43" t="s">
        <v>221</v>
      </c>
      <c r="H65" s="43" t="s">
        <v>222</v>
      </c>
      <c r="I65" s="45" t="s">
        <v>27</v>
      </c>
      <c r="J65" s="45"/>
      <c r="K65" s="45"/>
      <c r="L65" s="43"/>
      <c r="M65" s="43"/>
      <c r="N65" s="43"/>
      <c r="O65" s="43"/>
      <c r="P65" s="43"/>
      <c r="Q65" s="43"/>
      <c r="R65" s="43"/>
      <c r="S65" s="45"/>
      <c r="T65" s="45"/>
      <c r="U65" s="43"/>
    </row>
    <row r="66" spans="1:21" ht="54" customHeight="1" x14ac:dyDescent="0.3">
      <c r="A66" s="44">
        <v>65</v>
      </c>
      <c r="B66" s="45" t="s">
        <v>21</v>
      </c>
      <c r="C66" s="45" t="s">
        <v>219</v>
      </c>
      <c r="D66" s="45" t="s">
        <v>223</v>
      </c>
      <c r="E66" s="45" t="s">
        <v>35</v>
      </c>
      <c r="F66" s="45" t="s">
        <v>219</v>
      </c>
      <c r="G66" s="43" t="s">
        <v>224</v>
      </c>
      <c r="H66" s="43" t="s">
        <v>225</v>
      </c>
      <c r="I66" s="45" t="s">
        <v>27</v>
      </c>
      <c r="J66" s="45"/>
      <c r="K66" s="45"/>
      <c r="L66" s="43"/>
      <c r="M66" s="43"/>
      <c r="N66" s="43"/>
      <c r="O66" s="43"/>
      <c r="P66" s="43"/>
      <c r="Q66" s="43"/>
      <c r="R66" s="43"/>
      <c r="S66" s="45"/>
      <c r="T66" s="45"/>
      <c r="U66" s="43"/>
    </row>
    <row r="67" spans="1:21" ht="54" customHeight="1" x14ac:dyDescent="0.3">
      <c r="A67" s="44">
        <v>66</v>
      </c>
      <c r="B67" s="45" t="s">
        <v>21</v>
      </c>
      <c r="C67" s="45" t="s">
        <v>219</v>
      </c>
      <c r="D67" s="45" t="s">
        <v>226</v>
      </c>
      <c r="E67" s="45" t="s">
        <v>24</v>
      </c>
      <c r="F67" s="45" t="s">
        <v>219</v>
      </c>
      <c r="G67" s="43" t="s">
        <v>227</v>
      </c>
      <c r="H67" s="43" t="s">
        <v>228</v>
      </c>
      <c r="I67" s="45" t="s">
        <v>27</v>
      </c>
      <c r="J67" s="45"/>
      <c r="K67" s="45"/>
      <c r="L67" s="43"/>
      <c r="M67" s="43"/>
      <c r="N67" s="43"/>
      <c r="O67" s="43"/>
      <c r="P67" s="43"/>
      <c r="Q67" s="43"/>
      <c r="R67" s="43"/>
      <c r="S67" s="45"/>
      <c r="T67" s="45"/>
      <c r="U67" s="43"/>
    </row>
    <row r="68" spans="1:21" ht="54" customHeight="1" x14ac:dyDescent="0.3">
      <c r="A68" s="44">
        <v>67</v>
      </c>
      <c r="B68" s="45" t="s">
        <v>21</v>
      </c>
      <c r="C68" s="45" t="s">
        <v>219</v>
      </c>
      <c r="D68" s="45" t="s">
        <v>229</v>
      </c>
      <c r="E68" s="45" t="s">
        <v>24</v>
      </c>
      <c r="F68" s="45" t="s">
        <v>219</v>
      </c>
      <c r="G68" s="43" t="s">
        <v>230</v>
      </c>
      <c r="H68" s="43" t="s">
        <v>231</v>
      </c>
      <c r="I68" s="45" t="s">
        <v>27</v>
      </c>
      <c r="J68" s="45"/>
      <c r="K68" s="45"/>
      <c r="L68" s="43"/>
      <c r="M68" s="43"/>
      <c r="N68" s="43"/>
      <c r="O68" s="43"/>
      <c r="P68" s="43"/>
      <c r="Q68" s="43"/>
      <c r="R68" s="43"/>
      <c r="S68" s="45"/>
      <c r="T68" s="45"/>
      <c r="U68" s="43"/>
    </row>
    <row r="69" spans="1:21" ht="54" customHeight="1" x14ac:dyDescent="0.3">
      <c r="A69" s="44">
        <v>68</v>
      </c>
      <c r="B69" s="45" t="s">
        <v>21</v>
      </c>
      <c r="C69" s="45" t="s">
        <v>219</v>
      </c>
      <c r="D69" s="45" t="s">
        <v>232</v>
      </c>
      <c r="E69" s="45" t="s">
        <v>24</v>
      </c>
      <c r="F69" s="45" t="s">
        <v>219</v>
      </c>
      <c r="G69" s="43" t="s">
        <v>233</v>
      </c>
      <c r="H69" s="43" t="s">
        <v>234</v>
      </c>
      <c r="I69" s="45" t="s">
        <v>27</v>
      </c>
      <c r="J69" s="45"/>
      <c r="K69" s="45"/>
      <c r="L69" s="43"/>
      <c r="M69" s="43"/>
      <c r="N69" s="43"/>
      <c r="O69" s="43"/>
      <c r="P69" s="43"/>
      <c r="Q69" s="43"/>
      <c r="R69" s="43"/>
      <c r="S69" s="45"/>
      <c r="T69" s="45"/>
      <c r="U69" s="43"/>
    </row>
    <row r="70" spans="1:21" ht="54" customHeight="1" x14ac:dyDescent="0.3">
      <c r="A70" s="44">
        <v>69</v>
      </c>
      <c r="B70" s="45" t="s">
        <v>21</v>
      </c>
      <c r="C70" s="45" t="s">
        <v>219</v>
      </c>
      <c r="D70" s="45" t="s">
        <v>235</v>
      </c>
      <c r="E70" s="45" t="s">
        <v>35</v>
      </c>
      <c r="F70" s="45" t="s">
        <v>219</v>
      </c>
      <c r="G70" s="43" t="s">
        <v>236</v>
      </c>
      <c r="H70" s="43" t="s">
        <v>237</v>
      </c>
      <c r="I70" s="45" t="s">
        <v>27</v>
      </c>
      <c r="J70" s="45"/>
      <c r="K70" s="45"/>
      <c r="L70" s="43"/>
      <c r="M70" s="43"/>
      <c r="N70" s="43"/>
      <c r="O70" s="43"/>
      <c r="P70" s="43"/>
      <c r="Q70" s="43"/>
      <c r="R70" s="43"/>
      <c r="S70" s="45"/>
      <c r="T70" s="45"/>
      <c r="U70" s="43"/>
    </row>
    <row r="71" spans="1:21" ht="54" customHeight="1" x14ac:dyDescent="0.3">
      <c r="A71" s="44">
        <v>70</v>
      </c>
      <c r="B71" s="45" t="s">
        <v>21</v>
      </c>
      <c r="C71" s="45" t="s">
        <v>219</v>
      </c>
      <c r="D71" s="45" t="s">
        <v>238</v>
      </c>
      <c r="E71" s="45" t="s">
        <v>35</v>
      </c>
      <c r="F71" s="45" t="s">
        <v>219</v>
      </c>
      <c r="G71" s="43" t="s">
        <v>239</v>
      </c>
      <c r="H71" s="43" t="s">
        <v>240</v>
      </c>
      <c r="I71" s="45" t="s">
        <v>27</v>
      </c>
      <c r="J71" s="45"/>
      <c r="K71" s="45"/>
      <c r="L71" s="43"/>
      <c r="M71" s="43"/>
      <c r="N71" s="43"/>
      <c r="O71" s="43"/>
      <c r="P71" s="43"/>
      <c r="Q71" s="43"/>
      <c r="R71" s="43"/>
      <c r="S71" s="45"/>
      <c r="T71" s="45"/>
      <c r="U71" s="43"/>
    </row>
    <row r="72" spans="1:21" ht="54" customHeight="1" x14ac:dyDescent="0.3">
      <c r="A72" s="44">
        <v>71</v>
      </c>
      <c r="B72" s="45" t="s">
        <v>21</v>
      </c>
      <c r="C72" s="45" t="s">
        <v>219</v>
      </c>
      <c r="D72" s="45" t="s">
        <v>241</v>
      </c>
      <c r="E72" s="45" t="s">
        <v>35</v>
      </c>
      <c r="F72" s="45" t="s">
        <v>219</v>
      </c>
      <c r="G72" s="43" t="s">
        <v>242</v>
      </c>
      <c r="H72" s="43" t="s">
        <v>243</v>
      </c>
      <c r="I72" s="45" t="s">
        <v>27</v>
      </c>
      <c r="J72" s="45"/>
      <c r="K72" s="45"/>
      <c r="L72" s="43"/>
      <c r="M72" s="43"/>
      <c r="N72" s="43"/>
      <c r="O72" s="43"/>
      <c r="P72" s="43"/>
      <c r="Q72" s="43"/>
      <c r="R72" s="43"/>
      <c r="S72" s="45"/>
      <c r="T72" s="45"/>
      <c r="U72" s="43"/>
    </row>
    <row r="73" spans="1:21" ht="54" customHeight="1" x14ac:dyDescent="0.3">
      <c r="A73" s="44">
        <v>72</v>
      </c>
      <c r="B73" s="45" t="s">
        <v>21</v>
      </c>
      <c r="C73" s="45" t="s">
        <v>219</v>
      </c>
      <c r="D73" s="45" t="s">
        <v>244</v>
      </c>
      <c r="E73" s="45" t="s">
        <v>35</v>
      </c>
      <c r="F73" s="45" t="s">
        <v>219</v>
      </c>
      <c r="G73" s="43" t="s">
        <v>245</v>
      </c>
      <c r="H73" s="43" t="s">
        <v>246</v>
      </c>
      <c r="I73" s="45" t="s">
        <v>27</v>
      </c>
      <c r="J73" s="45"/>
      <c r="K73" s="45"/>
      <c r="L73" s="43"/>
      <c r="M73" s="43"/>
      <c r="N73" s="43"/>
      <c r="O73" s="43"/>
      <c r="P73" s="43"/>
      <c r="Q73" s="43"/>
      <c r="R73" s="43"/>
      <c r="S73" s="45"/>
      <c r="T73" s="45"/>
      <c r="U73" s="43"/>
    </row>
    <row r="74" spans="1:21" ht="54" customHeight="1" x14ac:dyDescent="0.3">
      <c r="A74" s="44">
        <v>73</v>
      </c>
      <c r="B74" s="45" t="s">
        <v>21</v>
      </c>
      <c r="C74" s="45" t="s">
        <v>219</v>
      </c>
      <c r="D74" s="45" t="s">
        <v>247</v>
      </c>
      <c r="E74" s="45" t="s">
        <v>35</v>
      </c>
      <c r="F74" s="45" t="s">
        <v>219</v>
      </c>
      <c r="G74" s="43" t="s">
        <v>248</v>
      </c>
      <c r="H74" s="43" t="s">
        <v>249</v>
      </c>
      <c r="I74" s="45" t="s">
        <v>27</v>
      </c>
      <c r="J74" s="45"/>
      <c r="K74" s="45"/>
      <c r="L74" s="43"/>
      <c r="M74" s="43"/>
      <c r="N74" s="43"/>
      <c r="O74" s="43"/>
      <c r="P74" s="43"/>
      <c r="Q74" s="43"/>
      <c r="R74" s="43"/>
      <c r="S74" s="45"/>
      <c r="T74" s="45"/>
      <c r="U74" s="43"/>
    </row>
    <row r="75" spans="1:21" ht="54" customHeight="1" x14ac:dyDescent="0.3">
      <c r="A75" s="44">
        <v>74</v>
      </c>
      <c r="B75" s="45" t="s">
        <v>21</v>
      </c>
      <c r="C75" s="45" t="s">
        <v>250</v>
      </c>
      <c r="D75" s="45" t="s">
        <v>251</v>
      </c>
      <c r="E75" s="45" t="s">
        <v>24</v>
      </c>
      <c r="F75" s="45" t="s">
        <v>250</v>
      </c>
      <c r="G75" s="43" t="s">
        <v>252</v>
      </c>
      <c r="H75" s="43" t="s">
        <v>253</v>
      </c>
      <c r="I75" s="45" t="s">
        <v>27</v>
      </c>
      <c r="J75" s="45"/>
      <c r="K75" s="45"/>
      <c r="L75" s="43"/>
      <c r="M75" s="43"/>
      <c r="N75" s="43"/>
      <c r="O75" s="43"/>
      <c r="P75" s="43"/>
      <c r="Q75" s="43"/>
      <c r="R75" s="43"/>
      <c r="S75" s="45"/>
      <c r="T75" s="45"/>
      <c r="U75" s="43"/>
    </row>
    <row r="76" spans="1:21" ht="54" customHeight="1" x14ac:dyDescent="0.3">
      <c r="A76" s="44">
        <v>75</v>
      </c>
      <c r="B76" s="45" t="s">
        <v>21</v>
      </c>
      <c r="C76" s="45" t="s">
        <v>250</v>
      </c>
      <c r="D76" s="45" t="s">
        <v>254</v>
      </c>
      <c r="E76" s="45" t="s">
        <v>24</v>
      </c>
      <c r="F76" s="45" t="s">
        <v>250</v>
      </c>
      <c r="G76" s="43" t="s">
        <v>255</v>
      </c>
      <c r="H76" s="43" t="s">
        <v>256</v>
      </c>
      <c r="I76" s="45" t="s">
        <v>27</v>
      </c>
      <c r="J76" s="45"/>
      <c r="K76" s="45"/>
      <c r="L76" s="43"/>
      <c r="M76" s="43"/>
      <c r="N76" s="43"/>
      <c r="O76" s="43"/>
      <c r="P76" s="43"/>
      <c r="Q76" s="43"/>
      <c r="R76" s="43"/>
      <c r="S76" s="45"/>
      <c r="T76" s="45"/>
      <c r="U76" s="43"/>
    </row>
    <row r="77" spans="1:21" ht="54" customHeight="1" x14ac:dyDescent="0.3">
      <c r="A77" s="44">
        <v>76</v>
      </c>
      <c r="B77" s="45" t="s">
        <v>21</v>
      </c>
      <c r="C77" s="45" t="s">
        <v>250</v>
      </c>
      <c r="D77" s="45" t="s">
        <v>257</v>
      </c>
      <c r="E77" s="45" t="s">
        <v>24</v>
      </c>
      <c r="F77" s="45" t="s">
        <v>250</v>
      </c>
      <c r="G77" s="43" t="s">
        <v>258</v>
      </c>
      <c r="H77" s="43" t="s">
        <v>259</v>
      </c>
      <c r="I77" s="45" t="s">
        <v>27</v>
      </c>
      <c r="J77" s="45"/>
      <c r="K77" s="45"/>
      <c r="L77" s="43"/>
      <c r="M77" s="43"/>
      <c r="N77" s="43"/>
      <c r="O77" s="43"/>
      <c r="P77" s="43"/>
      <c r="Q77" s="43"/>
      <c r="R77" s="43"/>
      <c r="S77" s="45"/>
      <c r="T77" s="45"/>
      <c r="U77" s="43"/>
    </row>
    <row r="78" spans="1:21" ht="54" customHeight="1" x14ac:dyDescent="0.3">
      <c r="A78" s="44">
        <v>77</v>
      </c>
      <c r="B78" s="45" t="s">
        <v>21</v>
      </c>
      <c r="C78" s="45" t="s">
        <v>250</v>
      </c>
      <c r="D78" s="45" t="s">
        <v>260</v>
      </c>
      <c r="E78" s="45" t="s">
        <v>24</v>
      </c>
      <c r="F78" s="45" t="s">
        <v>250</v>
      </c>
      <c r="G78" s="43" t="s">
        <v>261</v>
      </c>
      <c r="H78" s="43" t="s">
        <v>262</v>
      </c>
      <c r="I78" s="45" t="s">
        <v>27</v>
      </c>
      <c r="J78" s="45"/>
      <c r="K78" s="45"/>
      <c r="L78" s="43"/>
      <c r="M78" s="43"/>
      <c r="N78" s="43"/>
      <c r="O78" s="43"/>
      <c r="P78" s="43"/>
      <c r="Q78" s="43"/>
      <c r="R78" s="43"/>
      <c r="S78" s="45"/>
      <c r="T78" s="45"/>
      <c r="U78" s="43"/>
    </row>
    <row r="79" spans="1:21" ht="54" customHeight="1" x14ac:dyDescent="0.3">
      <c r="A79" s="44">
        <v>78</v>
      </c>
      <c r="B79" s="45" t="s">
        <v>21</v>
      </c>
      <c r="C79" s="45" t="s">
        <v>250</v>
      </c>
      <c r="D79" s="45" t="s">
        <v>263</v>
      </c>
      <c r="E79" s="45" t="s">
        <v>24</v>
      </c>
      <c r="F79" s="45" t="s">
        <v>250</v>
      </c>
      <c r="G79" s="43" t="s">
        <v>264</v>
      </c>
      <c r="H79" s="43" t="s">
        <v>265</v>
      </c>
      <c r="I79" s="45" t="s">
        <v>27</v>
      </c>
      <c r="J79" s="45"/>
      <c r="K79" s="45"/>
      <c r="L79" s="43"/>
      <c r="M79" s="43"/>
      <c r="N79" s="43"/>
      <c r="O79" s="43"/>
      <c r="P79" s="43"/>
      <c r="Q79" s="43"/>
      <c r="R79" s="43"/>
      <c r="S79" s="45"/>
      <c r="T79" s="45"/>
      <c r="U79" s="43"/>
    </row>
    <row r="80" spans="1:21" ht="54" customHeight="1" x14ac:dyDescent="0.3">
      <c r="A80" s="44">
        <v>79</v>
      </c>
      <c r="B80" s="45" t="s">
        <v>21</v>
      </c>
      <c r="C80" s="45" t="s">
        <v>250</v>
      </c>
      <c r="D80" s="45" t="s">
        <v>266</v>
      </c>
      <c r="E80" s="45" t="s">
        <v>35</v>
      </c>
      <c r="F80" s="45" t="s">
        <v>250</v>
      </c>
      <c r="G80" s="43" t="s">
        <v>267</v>
      </c>
      <c r="H80" s="43" t="s">
        <v>268</v>
      </c>
      <c r="I80" s="45" t="s">
        <v>27</v>
      </c>
      <c r="J80" s="45"/>
      <c r="K80" s="45"/>
      <c r="L80" s="43"/>
      <c r="M80" s="43"/>
      <c r="N80" s="43"/>
      <c r="O80" s="43"/>
      <c r="P80" s="43"/>
      <c r="Q80" s="43"/>
      <c r="R80" s="43"/>
      <c r="S80" s="45"/>
      <c r="T80" s="45"/>
      <c r="U80" s="43"/>
    </row>
    <row r="81" spans="1:21" ht="54" customHeight="1" x14ac:dyDescent="0.3">
      <c r="A81" s="44">
        <v>80</v>
      </c>
      <c r="B81" s="45" t="s">
        <v>21</v>
      </c>
      <c r="C81" s="45" t="s">
        <v>250</v>
      </c>
      <c r="D81" s="45" t="s">
        <v>269</v>
      </c>
      <c r="E81" s="45" t="s">
        <v>24</v>
      </c>
      <c r="F81" s="45" t="s">
        <v>250</v>
      </c>
      <c r="G81" s="43" t="s">
        <v>270</v>
      </c>
      <c r="H81" s="43" t="s">
        <v>271</v>
      </c>
      <c r="I81" s="45" t="s">
        <v>27</v>
      </c>
      <c r="J81" s="45"/>
      <c r="K81" s="45"/>
      <c r="L81" s="43"/>
      <c r="M81" s="43"/>
      <c r="N81" s="43"/>
      <c r="O81" s="43"/>
      <c r="P81" s="43"/>
      <c r="Q81" s="43"/>
      <c r="R81" s="43"/>
      <c r="S81" s="45"/>
      <c r="T81" s="45"/>
      <c r="U81" s="43"/>
    </row>
    <row r="82" spans="1:21" ht="54" customHeight="1" x14ac:dyDescent="0.3">
      <c r="A82" s="44">
        <v>81</v>
      </c>
      <c r="B82" s="45" t="s">
        <v>21</v>
      </c>
      <c r="C82" s="45" t="s">
        <v>250</v>
      </c>
      <c r="D82" s="45" t="s">
        <v>272</v>
      </c>
      <c r="E82" s="45" t="s">
        <v>24</v>
      </c>
      <c r="F82" s="45" t="s">
        <v>250</v>
      </c>
      <c r="G82" s="43" t="s">
        <v>273</v>
      </c>
      <c r="H82" s="43" t="s">
        <v>274</v>
      </c>
      <c r="I82" s="45" t="s">
        <v>27</v>
      </c>
      <c r="J82" s="45"/>
      <c r="K82" s="45"/>
      <c r="L82" s="43"/>
      <c r="M82" s="43"/>
      <c r="N82" s="43"/>
      <c r="O82" s="43"/>
      <c r="P82" s="43"/>
      <c r="Q82" s="43"/>
      <c r="R82" s="43"/>
      <c r="S82" s="45"/>
      <c r="T82" s="45"/>
      <c r="U82" s="43"/>
    </row>
    <row r="83" spans="1:21" ht="54" customHeight="1" x14ac:dyDescent="0.3">
      <c r="A83" s="44">
        <v>82</v>
      </c>
      <c r="B83" s="45" t="s">
        <v>21</v>
      </c>
      <c r="C83" s="45" t="s">
        <v>250</v>
      </c>
      <c r="D83" s="45" t="s">
        <v>275</v>
      </c>
      <c r="E83" s="45" t="s">
        <v>35</v>
      </c>
      <c r="F83" s="45" t="s">
        <v>250</v>
      </c>
      <c r="G83" s="43" t="s">
        <v>276</v>
      </c>
      <c r="H83" s="43" t="s">
        <v>277</v>
      </c>
      <c r="I83" s="45" t="s">
        <v>27</v>
      </c>
      <c r="J83" s="45"/>
      <c r="K83" s="45"/>
      <c r="L83" s="43"/>
      <c r="M83" s="43"/>
      <c r="N83" s="43"/>
      <c r="O83" s="43"/>
      <c r="P83" s="43"/>
      <c r="Q83" s="43"/>
      <c r="R83" s="43"/>
      <c r="S83" s="45"/>
      <c r="T83" s="45"/>
      <c r="U83" s="43"/>
    </row>
    <row r="84" spans="1:21" ht="54" customHeight="1" x14ac:dyDescent="0.3">
      <c r="A84" s="44">
        <v>83</v>
      </c>
      <c r="B84" s="45" t="s">
        <v>21</v>
      </c>
      <c r="C84" s="45" t="s">
        <v>250</v>
      </c>
      <c r="D84" s="45" t="s">
        <v>278</v>
      </c>
      <c r="E84" s="45" t="s">
        <v>35</v>
      </c>
      <c r="F84" s="45" t="s">
        <v>250</v>
      </c>
      <c r="G84" s="43" t="s">
        <v>279</v>
      </c>
      <c r="H84" s="43" t="s">
        <v>280</v>
      </c>
      <c r="I84" s="45" t="s">
        <v>27</v>
      </c>
      <c r="J84" s="45"/>
      <c r="K84" s="45"/>
      <c r="L84" s="43"/>
      <c r="M84" s="43"/>
      <c r="N84" s="43"/>
      <c r="O84" s="43"/>
      <c r="P84" s="43"/>
      <c r="Q84" s="43"/>
      <c r="R84" s="43"/>
      <c r="S84" s="45"/>
      <c r="T84" s="45"/>
      <c r="U84" s="43"/>
    </row>
    <row r="85" spans="1:21" ht="54" customHeight="1" x14ac:dyDescent="0.3">
      <c r="A85" s="44">
        <v>84</v>
      </c>
      <c r="B85" s="45" t="s">
        <v>21</v>
      </c>
      <c r="C85" s="45" t="s">
        <v>250</v>
      </c>
      <c r="D85" s="45" t="s">
        <v>281</v>
      </c>
      <c r="E85" s="45" t="s">
        <v>35</v>
      </c>
      <c r="F85" s="45" t="s">
        <v>250</v>
      </c>
      <c r="G85" s="43" t="s">
        <v>282</v>
      </c>
      <c r="H85" s="43" t="s">
        <v>283</v>
      </c>
      <c r="I85" s="45" t="s">
        <v>27</v>
      </c>
      <c r="J85" s="45"/>
      <c r="K85" s="45"/>
      <c r="L85" s="43"/>
      <c r="M85" s="43"/>
      <c r="N85" s="43"/>
      <c r="O85" s="43"/>
      <c r="P85" s="43"/>
      <c r="Q85" s="43"/>
      <c r="R85" s="43"/>
      <c r="S85" s="45"/>
      <c r="T85" s="45"/>
      <c r="U85" s="43"/>
    </row>
    <row r="86" spans="1:21" ht="54" customHeight="1" x14ac:dyDescent="0.3">
      <c r="A86" s="44">
        <v>85</v>
      </c>
      <c r="B86" s="45" t="s">
        <v>21</v>
      </c>
      <c r="C86" s="45" t="s">
        <v>250</v>
      </c>
      <c r="D86" s="45" t="s">
        <v>284</v>
      </c>
      <c r="E86" s="45" t="s">
        <v>35</v>
      </c>
      <c r="F86" s="45" t="s">
        <v>250</v>
      </c>
      <c r="G86" s="43" t="s">
        <v>285</v>
      </c>
      <c r="H86" s="43" t="s">
        <v>286</v>
      </c>
      <c r="I86" s="45" t="s">
        <v>27</v>
      </c>
      <c r="J86" s="45"/>
      <c r="K86" s="45"/>
      <c r="L86" s="43"/>
      <c r="M86" s="43"/>
      <c r="N86" s="43"/>
      <c r="O86" s="43"/>
      <c r="P86" s="43"/>
      <c r="Q86" s="43"/>
      <c r="R86" s="43"/>
      <c r="S86" s="45"/>
      <c r="T86" s="45"/>
      <c r="U86" s="43"/>
    </row>
    <row r="87" spans="1:21" ht="54" customHeight="1" x14ac:dyDescent="0.3">
      <c r="A87" s="44">
        <v>86</v>
      </c>
      <c r="B87" s="45" t="s">
        <v>21</v>
      </c>
      <c r="C87" s="45" t="s">
        <v>250</v>
      </c>
      <c r="D87" s="45" t="s">
        <v>287</v>
      </c>
      <c r="E87" s="45" t="s">
        <v>24</v>
      </c>
      <c r="F87" s="45" t="s">
        <v>250</v>
      </c>
      <c r="G87" s="43" t="s">
        <v>288</v>
      </c>
      <c r="H87" s="43" t="s">
        <v>289</v>
      </c>
      <c r="I87" s="45" t="s">
        <v>27</v>
      </c>
      <c r="J87" s="45"/>
      <c r="K87" s="45"/>
      <c r="L87" s="43"/>
      <c r="M87" s="43"/>
      <c r="N87" s="43"/>
      <c r="O87" s="43"/>
      <c r="P87" s="43"/>
      <c r="Q87" s="43"/>
      <c r="R87" s="43"/>
      <c r="S87" s="45"/>
      <c r="T87" s="45"/>
      <c r="U87" s="43"/>
    </row>
    <row r="88" spans="1:21" ht="54" customHeight="1" x14ac:dyDescent="0.3">
      <c r="A88" s="44">
        <v>87</v>
      </c>
      <c r="B88" s="45" t="s">
        <v>21</v>
      </c>
      <c r="C88" s="45" t="s">
        <v>250</v>
      </c>
      <c r="D88" s="45" t="s">
        <v>290</v>
      </c>
      <c r="E88" s="45" t="s">
        <v>24</v>
      </c>
      <c r="F88" s="45" t="s">
        <v>250</v>
      </c>
      <c r="G88" s="43" t="s">
        <v>291</v>
      </c>
      <c r="H88" s="43" t="s">
        <v>292</v>
      </c>
      <c r="I88" s="45" t="s">
        <v>27</v>
      </c>
      <c r="J88" s="45"/>
      <c r="K88" s="45"/>
      <c r="L88" s="43"/>
      <c r="M88" s="43"/>
      <c r="N88" s="43"/>
      <c r="O88" s="43"/>
      <c r="P88" s="43"/>
      <c r="Q88" s="43"/>
      <c r="R88" s="43"/>
      <c r="S88" s="45"/>
      <c r="T88" s="45"/>
      <c r="U88" s="43"/>
    </row>
    <row r="89" spans="1:21" ht="54" customHeight="1" x14ac:dyDescent="0.3">
      <c r="A89" s="44">
        <v>88</v>
      </c>
      <c r="B89" s="45" t="s">
        <v>21</v>
      </c>
      <c r="C89" s="45" t="s">
        <v>250</v>
      </c>
      <c r="D89" s="45" t="s">
        <v>293</v>
      </c>
      <c r="E89" s="45" t="s">
        <v>35</v>
      </c>
      <c r="F89" s="45" t="s">
        <v>250</v>
      </c>
      <c r="G89" s="43" t="s">
        <v>294</v>
      </c>
      <c r="H89" s="43" t="s">
        <v>295</v>
      </c>
      <c r="I89" s="45" t="s">
        <v>27</v>
      </c>
      <c r="J89" s="45"/>
      <c r="K89" s="45"/>
      <c r="L89" s="43"/>
      <c r="M89" s="43"/>
      <c r="N89" s="43"/>
      <c r="O89" s="43"/>
      <c r="P89" s="43"/>
      <c r="Q89" s="43"/>
      <c r="R89" s="43"/>
      <c r="S89" s="45"/>
      <c r="T89" s="45"/>
      <c r="U89" s="43"/>
    </row>
    <row r="90" spans="1:21" ht="54" customHeight="1" x14ac:dyDescent="0.3">
      <c r="A90" s="44">
        <v>89</v>
      </c>
      <c r="B90" s="45" t="s">
        <v>21</v>
      </c>
      <c r="C90" s="45" t="s">
        <v>250</v>
      </c>
      <c r="D90" s="45" t="s">
        <v>296</v>
      </c>
      <c r="E90" s="45" t="s">
        <v>35</v>
      </c>
      <c r="F90" s="45" t="s">
        <v>250</v>
      </c>
      <c r="G90" s="43" t="s">
        <v>297</v>
      </c>
      <c r="H90" s="43" t="s">
        <v>298</v>
      </c>
      <c r="I90" s="45" t="s">
        <v>27</v>
      </c>
      <c r="J90" s="45"/>
      <c r="K90" s="45"/>
      <c r="L90" s="43"/>
      <c r="M90" s="43"/>
      <c r="N90" s="43"/>
      <c r="O90" s="43"/>
      <c r="P90" s="43"/>
      <c r="Q90" s="43"/>
      <c r="R90" s="43"/>
      <c r="S90" s="45"/>
      <c r="T90" s="45"/>
      <c r="U90" s="43"/>
    </row>
    <row r="91" spans="1:21" ht="54" customHeight="1" x14ac:dyDescent="0.3">
      <c r="A91" s="44">
        <v>90</v>
      </c>
      <c r="B91" s="45" t="s">
        <v>21</v>
      </c>
      <c r="C91" s="45" t="s">
        <v>299</v>
      </c>
      <c r="D91" s="45" t="s">
        <v>300</v>
      </c>
      <c r="E91" s="45" t="s">
        <v>35</v>
      </c>
      <c r="F91" s="45" t="s">
        <v>299</v>
      </c>
      <c r="G91" s="43" t="s">
        <v>301</v>
      </c>
      <c r="H91" s="43" t="s">
        <v>302</v>
      </c>
      <c r="I91" s="45" t="s">
        <v>27</v>
      </c>
      <c r="J91" s="45"/>
      <c r="K91" s="45"/>
      <c r="L91" s="43"/>
      <c r="M91" s="43"/>
      <c r="N91" s="43"/>
      <c r="O91" s="43"/>
      <c r="P91" s="43"/>
      <c r="Q91" s="43"/>
      <c r="R91" s="43"/>
      <c r="S91" s="45"/>
      <c r="T91" s="45"/>
      <c r="U91" s="43"/>
    </row>
    <row r="92" spans="1:21" ht="54" customHeight="1" x14ac:dyDescent="0.3">
      <c r="A92" s="44">
        <v>91</v>
      </c>
      <c r="B92" s="45" t="s">
        <v>21</v>
      </c>
      <c r="C92" s="45" t="s">
        <v>299</v>
      </c>
      <c r="D92" s="45" t="s">
        <v>303</v>
      </c>
      <c r="E92" s="45" t="s">
        <v>24</v>
      </c>
      <c r="F92" s="45" t="s">
        <v>299</v>
      </c>
      <c r="G92" s="43" t="s">
        <v>304</v>
      </c>
      <c r="H92" s="43" t="s">
        <v>305</v>
      </c>
      <c r="I92" s="45" t="s">
        <v>27</v>
      </c>
      <c r="J92" s="45"/>
      <c r="K92" s="45"/>
      <c r="L92" s="43"/>
      <c r="M92" s="43"/>
      <c r="N92" s="43"/>
      <c r="O92" s="43"/>
      <c r="P92" s="43"/>
      <c r="Q92" s="43"/>
      <c r="R92" s="43"/>
      <c r="S92" s="45"/>
      <c r="T92" s="45"/>
      <c r="U92" s="43"/>
    </row>
    <row r="93" spans="1:21" ht="54" customHeight="1" x14ac:dyDescent="0.3">
      <c r="A93" s="44">
        <v>92</v>
      </c>
      <c r="B93" s="45" t="s">
        <v>21</v>
      </c>
      <c r="C93" s="45" t="s">
        <v>299</v>
      </c>
      <c r="D93" s="45" t="s">
        <v>306</v>
      </c>
      <c r="E93" s="45" t="s">
        <v>24</v>
      </c>
      <c r="F93" s="45" t="s">
        <v>299</v>
      </c>
      <c r="G93" s="43" t="s">
        <v>307</v>
      </c>
      <c r="H93" s="43" t="s">
        <v>308</v>
      </c>
      <c r="I93" s="45" t="s">
        <v>27</v>
      </c>
      <c r="J93" s="45"/>
      <c r="K93" s="45"/>
      <c r="L93" s="43"/>
      <c r="M93" s="43"/>
      <c r="N93" s="43"/>
      <c r="O93" s="43"/>
      <c r="P93" s="43"/>
      <c r="Q93" s="43"/>
      <c r="R93" s="43"/>
      <c r="S93" s="45"/>
      <c r="T93" s="45"/>
      <c r="U93" s="43"/>
    </row>
    <row r="94" spans="1:21" ht="54" customHeight="1" x14ac:dyDescent="0.3">
      <c r="A94" s="44">
        <v>93</v>
      </c>
      <c r="B94" s="45" t="s">
        <v>21</v>
      </c>
      <c r="C94" s="45" t="s">
        <v>299</v>
      </c>
      <c r="D94" s="45" t="s">
        <v>309</v>
      </c>
      <c r="E94" s="45" t="s">
        <v>35</v>
      </c>
      <c r="F94" s="45" t="s">
        <v>299</v>
      </c>
      <c r="G94" s="43" t="s">
        <v>310</v>
      </c>
      <c r="H94" s="43" t="s">
        <v>311</v>
      </c>
      <c r="I94" s="45" t="s">
        <v>27</v>
      </c>
      <c r="J94" s="45"/>
      <c r="K94" s="45"/>
      <c r="L94" s="43"/>
      <c r="M94" s="43"/>
      <c r="N94" s="43"/>
      <c r="O94" s="43"/>
      <c r="P94" s="43"/>
      <c r="Q94" s="43"/>
      <c r="R94" s="43"/>
      <c r="S94" s="45"/>
      <c r="T94" s="45"/>
      <c r="U94" s="43"/>
    </row>
    <row r="95" spans="1:21" ht="54" customHeight="1" x14ac:dyDescent="0.3">
      <c r="A95" s="44">
        <v>94</v>
      </c>
      <c r="B95" s="45" t="s">
        <v>21</v>
      </c>
      <c r="C95" s="45" t="s">
        <v>299</v>
      </c>
      <c r="D95" s="45" t="s">
        <v>312</v>
      </c>
      <c r="E95" s="45" t="s">
        <v>35</v>
      </c>
      <c r="F95" s="45" t="s">
        <v>299</v>
      </c>
      <c r="G95" s="43" t="s">
        <v>313</v>
      </c>
      <c r="H95" s="43" t="s">
        <v>314</v>
      </c>
      <c r="I95" s="45" t="s">
        <v>27</v>
      </c>
      <c r="J95" s="45"/>
      <c r="K95" s="45"/>
      <c r="L95" s="43"/>
      <c r="M95" s="43"/>
      <c r="N95" s="43"/>
      <c r="O95" s="43"/>
      <c r="P95" s="43"/>
      <c r="Q95" s="43"/>
      <c r="R95" s="43"/>
      <c r="S95" s="45"/>
      <c r="T95" s="45"/>
      <c r="U95" s="43"/>
    </row>
    <row r="96" spans="1:21" ht="54" customHeight="1" x14ac:dyDescent="0.3">
      <c r="A96" s="44">
        <v>95</v>
      </c>
      <c r="B96" s="45" t="s">
        <v>21</v>
      </c>
      <c r="C96" s="45" t="s">
        <v>299</v>
      </c>
      <c r="D96" s="45" t="s">
        <v>315</v>
      </c>
      <c r="E96" s="45" t="s">
        <v>35</v>
      </c>
      <c r="F96" s="45" t="s">
        <v>299</v>
      </c>
      <c r="G96" s="43" t="s">
        <v>316</v>
      </c>
      <c r="H96" s="43" t="s">
        <v>317</v>
      </c>
      <c r="I96" s="45" t="s">
        <v>27</v>
      </c>
      <c r="J96" s="45"/>
      <c r="K96" s="45"/>
      <c r="L96" s="43"/>
      <c r="M96" s="43"/>
      <c r="N96" s="43"/>
      <c r="O96" s="43"/>
      <c r="P96" s="43"/>
      <c r="Q96" s="43"/>
      <c r="R96" s="43"/>
      <c r="S96" s="45"/>
      <c r="T96" s="45"/>
      <c r="U96" s="43"/>
    </row>
    <row r="97" spans="1:21" ht="54" customHeight="1" x14ac:dyDescent="0.3">
      <c r="A97" s="44">
        <v>96</v>
      </c>
      <c r="B97" s="45" t="s">
        <v>21</v>
      </c>
      <c r="C97" s="45" t="s">
        <v>299</v>
      </c>
      <c r="D97" s="45" t="s">
        <v>318</v>
      </c>
      <c r="E97" s="45" t="s">
        <v>24</v>
      </c>
      <c r="F97" s="45" t="s">
        <v>299</v>
      </c>
      <c r="G97" s="43" t="s">
        <v>319</v>
      </c>
      <c r="H97" s="43" t="s">
        <v>320</v>
      </c>
      <c r="I97" s="45" t="s">
        <v>27</v>
      </c>
      <c r="J97" s="45"/>
      <c r="K97" s="45"/>
      <c r="L97" s="43"/>
      <c r="M97" s="43"/>
      <c r="N97" s="43"/>
      <c r="O97" s="43"/>
      <c r="P97" s="43"/>
      <c r="Q97" s="43"/>
      <c r="R97" s="43"/>
      <c r="S97" s="45"/>
      <c r="T97" s="45"/>
      <c r="U97" s="43"/>
    </row>
    <row r="98" spans="1:21" ht="54" customHeight="1" x14ac:dyDescent="0.3">
      <c r="A98" s="44">
        <v>97</v>
      </c>
      <c r="B98" s="45" t="s">
        <v>21</v>
      </c>
      <c r="C98" s="45" t="s">
        <v>299</v>
      </c>
      <c r="D98" s="45" t="s">
        <v>321</v>
      </c>
      <c r="E98" s="45" t="s">
        <v>35</v>
      </c>
      <c r="F98" s="45" t="s">
        <v>299</v>
      </c>
      <c r="G98" s="43" t="s">
        <v>322</v>
      </c>
      <c r="H98" s="43" t="s">
        <v>323</v>
      </c>
      <c r="I98" s="45" t="s">
        <v>27</v>
      </c>
      <c r="J98" s="45"/>
      <c r="K98" s="45"/>
      <c r="L98" s="43"/>
      <c r="M98" s="43"/>
      <c r="N98" s="43"/>
      <c r="O98" s="43"/>
      <c r="P98" s="43"/>
      <c r="Q98" s="43"/>
      <c r="R98" s="43"/>
      <c r="S98" s="45"/>
      <c r="T98" s="45"/>
      <c r="U98" s="43"/>
    </row>
    <row r="99" spans="1:21" ht="54" customHeight="1" x14ac:dyDescent="0.3">
      <c r="A99" s="44">
        <v>98</v>
      </c>
      <c r="B99" s="45" t="s">
        <v>21</v>
      </c>
      <c r="C99" s="45" t="s">
        <v>299</v>
      </c>
      <c r="D99" s="45" t="s">
        <v>324</v>
      </c>
      <c r="E99" s="45" t="s">
        <v>35</v>
      </c>
      <c r="F99" s="45" t="s">
        <v>299</v>
      </c>
      <c r="G99" s="43" t="s">
        <v>325</v>
      </c>
      <c r="H99" s="43" t="s">
        <v>326</v>
      </c>
      <c r="I99" s="45" t="s">
        <v>27</v>
      </c>
      <c r="J99" s="45"/>
      <c r="K99" s="45"/>
      <c r="L99" s="43"/>
      <c r="M99" s="43"/>
      <c r="N99" s="43"/>
      <c r="O99" s="43"/>
      <c r="P99" s="43"/>
      <c r="Q99" s="43"/>
      <c r="R99" s="43"/>
      <c r="S99" s="45"/>
      <c r="T99" s="45"/>
      <c r="U99" s="43"/>
    </row>
    <row r="100" spans="1:21" ht="54" customHeight="1" x14ac:dyDescent="0.3">
      <c r="A100" s="44">
        <v>99</v>
      </c>
      <c r="B100" s="45" t="s">
        <v>21</v>
      </c>
      <c r="C100" s="45" t="s">
        <v>299</v>
      </c>
      <c r="D100" s="45" t="s">
        <v>327</v>
      </c>
      <c r="E100" s="45" t="s">
        <v>24</v>
      </c>
      <c r="F100" s="45" t="s">
        <v>299</v>
      </c>
      <c r="G100" s="43" t="s">
        <v>328</v>
      </c>
      <c r="H100" s="43" t="s">
        <v>329</v>
      </c>
      <c r="I100" s="45" t="s">
        <v>27</v>
      </c>
      <c r="J100" s="45"/>
      <c r="K100" s="45"/>
      <c r="L100" s="43"/>
      <c r="M100" s="43"/>
      <c r="N100" s="43"/>
      <c r="O100" s="43"/>
      <c r="P100" s="43"/>
      <c r="Q100" s="43"/>
      <c r="R100" s="43"/>
      <c r="S100" s="45"/>
      <c r="T100" s="45"/>
      <c r="U100" s="43"/>
    </row>
    <row r="101" spans="1:21" ht="54" customHeight="1" x14ac:dyDescent="0.3">
      <c r="A101" s="44">
        <v>100</v>
      </c>
      <c r="B101" s="45" t="s">
        <v>21</v>
      </c>
      <c r="C101" s="45" t="s">
        <v>299</v>
      </c>
      <c r="D101" s="45" t="s">
        <v>330</v>
      </c>
      <c r="E101" s="45" t="s">
        <v>35</v>
      </c>
      <c r="F101" s="45" t="s">
        <v>299</v>
      </c>
      <c r="G101" s="43" t="s">
        <v>331</v>
      </c>
      <c r="H101" s="43" t="s">
        <v>332</v>
      </c>
      <c r="I101" s="45" t="s">
        <v>27</v>
      </c>
      <c r="J101" s="45"/>
      <c r="K101" s="45"/>
      <c r="L101" s="43"/>
      <c r="M101" s="43"/>
      <c r="N101" s="43"/>
      <c r="O101" s="43"/>
      <c r="P101" s="43"/>
      <c r="Q101" s="43"/>
      <c r="R101" s="43"/>
      <c r="S101" s="45"/>
      <c r="T101" s="45"/>
      <c r="U101" s="43"/>
    </row>
    <row r="102" spans="1:21" ht="54" customHeight="1" x14ac:dyDescent="0.3">
      <c r="A102" s="44">
        <v>101</v>
      </c>
      <c r="B102" s="45" t="s">
        <v>21</v>
      </c>
      <c r="C102" s="45" t="s">
        <v>299</v>
      </c>
      <c r="D102" s="45" t="s">
        <v>333</v>
      </c>
      <c r="E102" s="45" t="s">
        <v>35</v>
      </c>
      <c r="F102" s="45" t="s">
        <v>299</v>
      </c>
      <c r="G102" s="43" t="s">
        <v>334</v>
      </c>
      <c r="H102" s="43" t="s">
        <v>335</v>
      </c>
      <c r="I102" s="45" t="s">
        <v>27</v>
      </c>
      <c r="J102" s="45"/>
      <c r="K102" s="45"/>
      <c r="L102" s="43"/>
      <c r="M102" s="43"/>
      <c r="N102" s="43"/>
      <c r="O102" s="43"/>
      <c r="P102" s="43"/>
      <c r="Q102" s="43"/>
      <c r="R102" s="43"/>
      <c r="S102" s="45"/>
      <c r="T102" s="45"/>
      <c r="U102" s="43"/>
    </row>
    <row r="103" spans="1:21" ht="54" customHeight="1" x14ac:dyDescent="0.3">
      <c r="A103" s="44">
        <v>102</v>
      </c>
      <c r="B103" s="45" t="s">
        <v>21</v>
      </c>
      <c r="C103" s="45" t="s">
        <v>336</v>
      </c>
      <c r="D103" s="45" t="s">
        <v>337</v>
      </c>
      <c r="E103" s="45" t="s">
        <v>24</v>
      </c>
      <c r="F103" s="45" t="s">
        <v>336</v>
      </c>
      <c r="G103" s="43" t="s">
        <v>338</v>
      </c>
      <c r="H103" s="43" t="s">
        <v>339</v>
      </c>
      <c r="I103" s="45" t="s">
        <v>27</v>
      </c>
      <c r="J103" s="45"/>
      <c r="K103" s="45"/>
      <c r="L103" s="43"/>
      <c r="M103" s="43"/>
      <c r="N103" s="43"/>
      <c r="O103" s="43"/>
      <c r="P103" s="43"/>
      <c r="Q103" s="43"/>
      <c r="R103" s="43"/>
      <c r="S103" s="45"/>
      <c r="T103" s="45"/>
      <c r="U103" s="43"/>
    </row>
    <row r="104" spans="1:21" ht="54" customHeight="1" x14ac:dyDescent="0.3">
      <c r="A104" s="44">
        <v>103</v>
      </c>
      <c r="B104" s="45" t="s">
        <v>21</v>
      </c>
      <c r="C104" s="45" t="s">
        <v>336</v>
      </c>
      <c r="D104" s="45" t="s">
        <v>340</v>
      </c>
      <c r="E104" s="45" t="s">
        <v>35</v>
      </c>
      <c r="F104" s="45" t="s">
        <v>336</v>
      </c>
      <c r="G104" s="43" t="s">
        <v>341</v>
      </c>
      <c r="H104" s="43" t="s">
        <v>342</v>
      </c>
      <c r="I104" s="45" t="s">
        <v>27</v>
      </c>
      <c r="J104" s="45"/>
      <c r="K104" s="45"/>
      <c r="L104" s="43"/>
      <c r="M104" s="43"/>
      <c r="N104" s="43"/>
      <c r="O104" s="43"/>
      <c r="P104" s="43"/>
      <c r="Q104" s="43"/>
      <c r="R104" s="43"/>
      <c r="S104" s="45"/>
      <c r="T104" s="45"/>
      <c r="U104" s="43"/>
    </row>
    <row r="105" spans="1:21" ht="54" customHeight="1" x14ac:dyDescent="0.3">
      <c r="A105" s="44">
        <v>104</v>
      </c>
      <c r="B105" s="45" t="s">
        <v>21</v>
      </c>
      <c r="C105" s="45" t="s">
        <v>336</v>
      </c>
      <c r="D105" s="45" t="s">
        <v>343</v>
      </c>
      <c r="E105" s="45" t="s">
        <v>24</v>
      </c>
      <c r="F105" s="45" t="s">
        <v>336</v>
      </c>
      <c r="G105" s="43" t="s">
        <v>344</v>
      </c>
      <c r="H105" s="43" t="s">
        <v>345</v>
      </c>
      <c r="I105" s="45" t="s">
        <v>27</v>
      </c>
      <c r="J105" s="45"/>
      <c r="K105" s="45"/>
      <c r="L105" s="43"/>
      <c r="M105" s="43"/>
      <c r="N105" s="43"/>
      <c r="O105" s="43"/>
      <c r="P105" s="43"/>
      <c r="Q105" s="43"/>
      <c r="R105" s="43"/>
      <c r="S105" s="45"/>
      <c r="T105" s="45"/>
      <c r="U105" s="43"/>
    </row>
    <row r="106" spans="1:21" ht="54" customHeight="1" x14ac:dyDescent="0.3">
      <c r="A106" s="44">
        <v>105</v>
      </c>
      <c r="B106" s="45" t="s">
        <v>21</v>
      </c>
      <c r="C106" s="45" t="s">
        <v>336</v>
      </c>
      <c r="D106" s="45" t="s">
        <v>346</v>
      </c>
      <c r="E106" s="45" t="s">
        <v>24</v>
      </c>
      <c r="F106" s="45" t="s">
        <v>336</v>
      </c>
      <c r="G106" s="43" t="s">
        <v>347</v>
      </c>
      <c r="H106" s="43" t="s">
        <v>348</v>
      </c>
      <c r="I106" s="45" t="s">
        <v>27</v>
      </c>
      <c r="J106" s="45"/>
      <c r="K106" s="45"/>
      <c r="L106" s="43"/>
      <c r="M106" s="43"/>
      <c r="N106" s="43"/>
      <c r="O106" s="43"/>
      <c r="P106" s="43"/>
      <c r="Q106" s="43"/>
      <c r="R106" s="43"/>
      <c r="S106" s="45"/>
      <c r="T106" s="45"/>
      <c r="U106" s="43"/>
    </row>
    <row r="107" spans="1:21" ht="54" customHeight="1" x14ac:dyDescent="0.3">
      <c r="A107" s="44">
        <v>106</v>
      </c>
      <c r="B107" s="45" t="s">
        <v>21</v>
      </c>
      <c r="C107" s="45" t="s">
        <v>336</v>
      </c>
      <c r="D107" s="45" t="s">
        <v>349</v>
      </c>
      <c r="E107" s="45" t="s">
        <v>35</v>
      </c>
      <c r="F107" s="45" t="s">
        <v>336</v>
      </c>
      <c r="G107" s="43" t="s">
        <v>350</v>
      </c>
      <c r="H107" s="43" t="s">
        <v>351</v>
      </c>
      <c r="I107" s="45" t="s">
        <v>27</v>
      </c>
      <c r="J107" s="45"/>
      <c r="K107" s="45"/>
      <c r="L107" s="43"/>
      <c r="M107" s="43"/>
      <c r="N107" s="43"/>
      <c r="O107" s="43"/>
      <c r="P107" s="43"/>
      <c r="Q107" s="43"/>
      <c r="R107" s="43"/>
      <c r="S107" s="45"/>
      <c r="T107" s="45"/>
      <c r="U107" s="43"/>
    </row>
    <row r="108" spans="1:21" ht="54" customHeight="1" x14ac:dyDescent="0.3">
      <c r="A108" s="44">
        <v>107</v>
      </c>
      <c r="B108" s="45" t="s">
        <v>21</v>
      </c>
      <c r="C108" s="45" t="s">
        <v>336</v>
      </c>
      <c r="D108" s="45" t="s">
        <v>352</v>
      </c>
      <c r="E108" s="45" t="s">
        <v>35</v>
      </c>
      <c r="F108" s="45" t="s">
        <v>336</v>
      </c>
      <c r="G108" s="43" t="s">
        <v>353</v>
      </c>
      <c r="H108" s="43" t="s">
        <v>354</v>
      </c>
      <c r="I108" s="45" t="s">
        <v>27</v>
      </c>
      <c r="J108" s="45"/>
      <c r="K108" s="45"/>
      <c r="L108" s="43"/>
      <c r="M108" s="43"/>
      <c r="N108" s="43"/>
      <c r="O108" s="43"/>
      <c r="P108" s="43"/>
      <c r="Q108" s="43"/>
      <c r="R108" s="43"/>
      <c r="S108" s="45"/>
      <c r="T108" s="45"/>
      <c r="U108" s="43"/>
    </row>
    <row r="109" spans="1:21" ht="54" customHeight="1" x14ac:dyDescent="0.3">
      <c r="A109" s="44">
        <v>108</v>
      </c>
      <c r="B109" s="45" t="s">
        <v>21</v>
      </c>
      <c r="C109" s="45" t="s">
        <v>336</v>
      </c>
      <c r="D109" s="45" t="s">
        <v>355</v>
      </c>
      <c r="E109" s="45" t="s">
        <v>24</v>
      </c>
      <c r="F109" s="45" t="s">
        <v>336</v>
      </c>
      <c r="G109" s="43" t="s">
        <v>356</v>
      </c>
      <c r="H109" s="43" t="s">
        <v>357</v>
      </c>
      <c r="I109" s="45" t="s">
        <v>27</v>
      </c>
      <c r="J109" s="45"/>
      <c r="K109" s="45"/>
      <c r="L109" s="43"/>
      <c r="M109" s="43"/>
      <c r="N109" s="43"/>
      <c r="O109" s="43"/>
      <c r="P109" s="43"/>
      <c r="Q109" s="43"/>
      <c r="R109" s="43"/>
      <c r="S109" s="45"/>
      <c r="T109" s="45"/>
      <c r="U109" s="43"/>
    </row>
    <row r="110" spans="1:21" ht="54" customHeight="1" x14ac:dyDescent="0.3">
      <c r="A110" s="44">
        <v>109</v>
      </c>
      <c r="B110" s="45" t="s">
        <v>21</v>
      </c>
      <c r="C110" s="45" t="s">
        <v>336</v>
      </c>
      <c r="D110" s="45" t="s">
        <v>358</v>
      </c>
      <c r="E110" s="45" t="s">
        <v>24</v>
      </c>
      <c r="F110" s="45" t="s">
        <v>336</v>
      </c>
      <c r="G110" s="43" t="s">
        <v>359</v>
      </c>
      <c r="H110" s="43" t="s">
        <v>360</v>
      </c>
      <c r="I110" s="45" t="s">
        <v>27</v>
      </c>
      <c r="J110" s="45"/>
      <c r="K110" s="45"/>
      <c r="L110" s="43"/>
      <c r="M110" s="43"/>
      <c r="N110" s="43"/>
      <c r="O110" s="43"/>
      <c r="P110" s="43"/>
      <c r="Q110" s="43"/>
      <c r="R110" s="43"/>
      <c r="S110" s="45"/>
      <c r="T110" s="45"/>
      <c r="U110" s="43"/>
    </row>
    <row r="111" spans="1:21" ht="54" customHeight="1" x14ac:dyDescent="0.3">
      <c r="A111" s="44">
        <v>110</v>
      </c>
      <c r="B111" s="45" t="s">
        <v>21</v>
      </c>
      <c r="C111" s="45" t="s">
        <v>336</v>
      </c>
      <c r="D111" s="45" t="s">
        <v>361</v>
      </c>
      <c r="E111" s="45" t="s">
        <v>35</v>
      </c>
      <c r="F111" s="45" t="s">
        <v>336</v>
      </c>
      <c r="G111" s="43" t="s">
        <v>362</v>
      </c>
      <c r="H111" s="43" t="s">
        <v>363</v>
      </c>
      <c r="I111" s="45" t="s">
        <v>27</v>
      </c>
      <c r="J111" s="45"/>
      <c r="K111" s="45"/>
      <c r="L111" s="43"/>
      <c r="M111" s="43"/>
      <c r="N111" s="43"/>
      <c r="O111" s="43"/>
      <c r="P111" s="43"/>
      <c r="Q111" s="43"/>
      <c r="R111" s="43"/>
      <c r="S111" s="45"/>
      <c r="T111" s="45"/>
      <c r="U111" s="43"/>
    </row>
    <row r="112" spans="1:21" ht="54" customHeight="1" x14ac:dyDescent="0.3">
      <c r="A112" s="44">
        <v>111</v>
      </c>
      <c r="B112" s="45" t="s">
        <v>21</v>
      </c>
      <c r="C112" s="45" t="s">
        <v>336</v>
      </c>
      <c r="D112" s="45" t="s">
        <v>364</v>
      </c>
      <c r="E112" s="45" t="s">
        <v>24</v>
      </c>
      <c r="F112" s="45" t="s">
        <v>336</v>
      </c>
      <c r="G112" s="43" t="s">
        <v>365</v>
      </c>
      <c r="H112" s="43" t="s">
        <v>366</v>
      </c>
      <c r="I112" s="45" t="s">
        <v>27</v>
      </c>
      <c r="J112" s="45"/>
      <c r="K112" s="45"/>
      <c r="L112" s="43"/>
      <c r="M112" s="43"/>
      <c r="N112" s="43"/>
      <c r="O112" s="43"/>
      <c r="P112" s="43"/>
      <c r="Q112" s="43"/>
      <c r="R112" s="43"/>
      <c r="S112" s="45"/>
      <c r="T112" s="45"/>
      <c r="U112" s="43"/>
    </row>
    <row r="113" spans="1:21" ht="54" customHeight="1" x14ac:dyDescent="0.3">
      <c r="A113" s="44">
        <v>112</v>
      </c>
      <c r="B113" s="45" t="s">
        <v>21</v>
      </c>
      <c r="C113" s="45" t="s">
        <v>336</v>
      </c>
      <c r="D113" s="45" t="s">
        <v>367</v>
      </c>
      <c r="E113" s="45" t="s">
        <v>24</v>
      </c>
      <c r="F113" s="45" t="s">
        <v>336</v>
      </c>
      <c r="G113" s="43" t="s">
        <v>368</v>
      </c>
      <c r="H113" s="43" t="s">
        <v>369</v>
      </c>
      <c r="I113" s="45" t="s">
        <v>27</v>
      </c>
      <c r="J113" s="45"/>
      <c r="K113" s="45"/>
      <c r="L113" s="43"/>
      <c r="M113" s="43"/>
      <c r="N113" s="43"/>
      <c r="O113" s="43"/>
      <c r="P113" s="43"/>
      <c r="Q113" s="43"/>
      <c r="R113" s="43"/>
      <c r="S113" s="45"/>
      <c r="T113" s="45"/>
      <c r="U113" s="43"/>
    </row>
    <row r="114" spans="1:21" ht="54" customHeight="1" x14ac:dyDescent="0.3">
      <c r="A114" s="44">
        <v>113</v>
      </c>
      <c r="B114" s="45" t="s">
        <v>21</v>
      </c>
      <c r="C114" s="45" t="s">
        <v>336</v>
      </c>
      <c r="D114" s="45" t="s">
        <v>370</v>
      </c>
      <c r="E114" s="45" t="s">
        <v>24</v>
      </c>
      <c r="F114" s="45" t="s">
        <v>336</v>
      </c>
      <c r="G114" s="43" t="s">
        <v>371</v>
      </c>
      <c r="H114" s="43" t="s">
        <v>372</v>
      </c>
      <c r="I114" s="45" t="s">
        <v>27</v>
      </c>
      <c r="J114" s="45"/>
      <c r="K114" s="45"/>
      <c r="L114" s="43"/>
      <c r="M114" s="43"/>
      <c r="N114" s="43"/>
      <c r="O114" s="43"/>
      <c r="P114" s="43"/>
      <c r="Q114" s="43"/>
      <c r="R114" s="43"/>
      <c r="S114" s="45"/>
      <c r="T114" s="45"/>
      <c r="U114" s="43"/>
    </row>
    <row r="115" spans="1:21" ht="54" customHeight="1" x14ac:dyDescent="0.3">
      <c r="A115" s="44">
        <v>114</v>
      </c>
      <c r="B115" s="45" t="s">
        <v>21</v>
      </c>
      <c r="C115" s="45" t="s">
        <v>336</v>
      </c>
      <c r="D115" s="45" t="s">
        <v>373</v>
      </c>
      <c r="E115" s="45" t="s">
        <v>35</v>
      </c>
      <c r="F115" s="45" t="s">
        <v>336</v>
      </c>
      <c r="G115" s="43" t="s">
        <v>374</v>
      </c>
      <c r="H115" s="43" t="s">
        <v>375</v>
      </c>
      <c r="I115" s="45" t="s">
        <v>27</v>
      </c>
      <c r="J115" s="45"/>
      <c r="K115" s="45"/>
      <c r="L115" s="43"/>
      <c r="M115" s="43"/>
      <c r="N115" s="43"/>
      <c r="O115" s="43"/>
      <c r="P115" s="43"/>
      <c r="Q115" s="43"/>
      <c r="R115" s="43"/>
      <c r="S115" s="45"/>
      <c r="T115" s="45"/>
      <c r="U115" s="43"/>
    </row>
    <row r="116" spans="1:21" ht="54" customHeight="1" x14ac:dyDescent="0.3">
      <c r="A116" s="44">
        <v>115</v>
      </c>
      <c r="B116" s="45" t="s">
        <v>21</v>
      </c>
      <c r="C116" s="45" t="s">
        <v>336</v>
      </c>
      <c r="D116" s="45" t="s">
        <v>376</v>
      </c>
      <c r="E116" s="45" t="s">
        <v>24</v>
      </c>
      <c r="F116" s="45" t="s">
        <v>336</v>
      </c>
      <c r="G116" s="43" t="s">
        <v>377</v>
      </c>
      <c r="H116" s="43" t="s">
        <v>378</v>
      </c>
      <c r="I116" s="45" t="s">
        <v>27</v>
      </c>
      <c r="J116" s="45"/>
      <c r="K116" s="45"/>
      <c r="L116" s="43"/>
      <c r="M116" s="43"/>
      <c r="N116" s="43"/>
      <c r="O116" s="43"/>
      <c r="P116" s="43"/>
      <c r="Q116" s="43"/>
      <c r="R116" s="43"/>
      <c r="S116" s="45"/>
      <c r="T116" s="45"/>
      <c r="U116" s="43"/>
    </row>
    <row r="117" spans="1:21" ht="54" customHeight="1" x14ac:dyDescent="0.3">
      <c r="A117" s="44">
        <v>116</v>
      </c>
      <c r="B117" s="45" t="s">
        <v>21</v>
      </c>
      <c r="C117" s="45" t="s">
        <v>336</v>
      </c>
      <c r="D117" s="45" t="s">
        <v>379</v>
      </c>
      <c r="E117" s="45" t="s">
        <v>35</v>
      </c>
      <c r="F117" s="45" t="s">
        <v>336</v>
      </c>
      <c r="G117" s="43" t="s">
        <v>380</v>
      </c>
      <c r="H117" s="43" t="s">
        <v>381</v>
      </c>
      <c r="I117" s="45" t="s">
        <v>27</v>
      </c>
      <c r="J117" s="45"/>
      <c r="K117" s="45"/>
      <c r="L117" s="43"/>
      <c r="M117" s="43"/>
      <c r="N117" s="43"/>
      <c r="O117" s="43"/>
      <c r="P117" s="43"/>
      <c r="Q117" s="43"/>
      <c r="R117" s="43"/>
      <c r="S117" s="45"/>
      <c r="T117" s="45"/>
      <c r="U117" s="43"/>
    </row>
    <row r="118" spans="1:21" ht="54" customHeight="1" x14ac:dyDescent="0.3">
      <c r="A118" s="44">
        <v>117</v>
      </c>
      <c r="B118" s="45" t="s">
        <v>21</v>
      </c>
      <c r="C118" s="45" t="s">
        <v>336</v>
      </c>
      <c r="D118" s="45" t="s">
        <v>382</v>
      </c>
      <c r="E118" s="45" t="s">
        <v>35</v>
      </c>
      <c r="F118" s="45" t="s">
        <v>336</v>
      </c>
      <c r="G118" s="43" t="s">
        <v>383</v>
      </c>
      <c r="H118" s="43" t="s">
        <v>384</v>
      </c>
      <c r="I118" s="45" t="s">
        <v>27</v>
      </c>
      <c r="J118" s="45"/>
      <c r="K118" s="45"/>
      <c r="L118" s="43"/>
      <c r="M118" s="43"/>
      <c r="N118" s="43"/>
      <c r="O118" s="43"/>
      <c r="P118" s="43"/>
      <c r="Q118" s="43"/>
      <c r="R118" s="43"/>
      <c r="S118" s="45"/>
      <c r="T118" s="45"/>
      <c r="U118" s="43"/>
    </row>
    <row r="119" spans="1:21" ht="54" customHeight="1" x14ac:dyDescent="0.3">
      <c r="A119" s="44">
        <v>118</v>
      </c>
      <c r="B119" s="45" t="s">
        <v>21</v>
      </c>
      <c r="C119" s="45" t="s">
        <v>336</v>
      </c>
      <c r="D119" s="45" t="s">
        <v>385</v>
      </c>
      <c r="E119" s="45" t="s">
        <v>24</v>
      </c>
      <c r="F119" s="45" t="s">
        <v>336</v>
      </c>
      <c r="G119" s="43" t="s">
        <v>386</v>
      </c>
      <c r="H119" s="43" t="s">
        <v>387</v>
      </c>
      <c r="I119" s="45" t="s">
        <v>27</v>
      </c>
      <c r="J119" s="45"/>
      <c r="K119" s="45"/>
      <c r="L119" s="43"/>
      <c r="M119" s="43"/>
      <c r="N119" s="43"/>
      <c r="O119" s="43"/>
      <c r="P119" s="43"/>
      <c r="Q119" s="43"/>
      <c r="R119" s="43"/>
      <c r="S119" s="45"/>
      <c r="T119" s="45"/>
      <c r="U119" s="43"/>
    </row>
    <row r="120" spans="1:21" ht="54" customHeight="1" x14ac:dyDescent="0.3">
      <c r="A120" s="44">
        <v>119</v>
      </c>
      <c r="B120" s="45" t="s">
        <v>21</v>
      </c>
      <c r="C120" s="45" t="s">
        <v>336</v>
      </c>
      <c r="D120" s="45" t="s">
        <v>388</v>
      </c>
      <c r="E120" s="45" t="s">
        <v>24</v>
      </c>
      <c r="F120" s="45" t="s">
        <v>336</v>
      </c>
      <c r="G120" s="43" t="s">
        <v>389</v>
      </c>
      <c r="H120" s="43" t="s">
        <v>390</v>
      </c>
      <c r="I120" s="45" t="s">
        <v>27</v>
      </c>
      <c r="J120" s="45"/>
      <c r="K120" s="45"/>
      <c r="L120" s="43"/>
      <c r="M120" s="43"/>
      <c r="N120" s="43"/>
      <c r="O120" s="43"/>
      <c r="P120" s="43"/>
      <c r="Q120" s="43"/>
      <c r="R120" s="43"/>
      <c r="S120" s="45"/>
      <c r="T120" s="45"/>
      <c r="U120" s="43"/>
    </row>
    <row r="121" spans="1:21" ht="54" customHeight="1" x14ac:dyDescent="0.3">
      <c r="A121" s="44">
        <v>120</v>
      </c>
      <c r="B121" s="45" t="s">
        <v>21</v>
      </c>
      <c r="C121" s="45" t="s">
        <v>336</v>
      </c>
      <c r="D121" s="45" t="s">
        <v>391</v>
      </c>
      <c r="E121" s="45" t="s">
        <v>35</v>
      </c>
      <c r="F121" s="45" t="s">
        <v>336</v>
      </c>
      <c r="G121" s="43" t="s">
        <v>392</v>
      </c>
      <c r="H121" s="43" t="s">
        <v>393</v>
      </c>
      <c r="I121" s="45" t="s">
        <v>27</v>
      </c>
      <c r="J121" s="45"/>
      <c r="K121" s="45"/>
      <c r="L121" s="43"/>
      <c r="M121" s="43"/>
      <c r="N121" s="43"/>
      <c r="O121" s="43"/>
      <c r="P121" s="43"/>
      <c r="Q121" s="43"/>
      <c r="R121" s="43"/>
      <c r="S121" s="45"/>
      <c r="T121" s="45"/>
      <c r="U121" s="43"/>
    </row>
    <row r="122" spans="1:21" ht="54" customHeight="1" x14ac:dyDescent="0.3">
      <c r="A122" s="44">
        <v>121</v>
      </c>
      <c r="B122" s="45" t="s">
        <v>21</v>
      </c>
      <c r="C122" s="45" t="s">
        <v>336</v>
      </c>
      <c r="D122" s="45" t="s">
        <v>394</v>
      </c>
      <c r="E122" s="45" t="s">
        <v>35</v>
      </c>
      <c r="F122" s="45" t="s">
        <v>336</v>
      </c>
      <c r="G122" s="43" t="s">
        <v>395</v>
      </c>
      <c r="H122" s="43" t="s">
        <v>396</v>
      </c>
      <c r="I122" s="45" t="s">
        <v>27</v>
      </c>
      <c r="J122" s="45"/>
      <c r="K122" s="45"/>
      <c r="L122" s="43"/>
      <c r="M122" s="43"/>
      <c r="N122" s="43"/>
      <c r="O122" s="43"/>
      <c r="P122" s="43"/>
      <c r="Q122" s="43"/>
      <c r="R122" s="43"/>
      <c r="S122" s="45"/>
      <c r="T122" s="45"/>
      <c r="U122" s="43"/>
    </row>
    <row r="123" spans="1:21" ht="54" customHeight="1" x14ac:dyDescent="0.3">
      <c r="A123" s="44">
        <v>122</v>
      </c>
      <c r="B123" s="45" t="s">
        <v>21</v>
      </c>
      <c r="C123" s="45" t="s">
        <v>336</v>
      </c>
      <c r="D123" s="45" t="s">
        <v>397</v>
      </c>
      <c r="E123" s="45" t="s">
        <v>35</v>
      </c>
      <c r="F123" s="45" t="s">
        <v>336</v>
      </c>
      <c r="G123" s="43" t="s">
        <v>398</v>
      </c>
      <c r="H123" s="43" t="s">
        <v>399</v>
      </c>
      <c r="I123" s="45" t="s">
        <v>27</v>
      </c>
      <c r="J123" s="45"/>
      <c r="K123" s="45"/>
      <c r="L123" s="43"/>
      <c r="M123" s="43"/>
      <c r="N123" s="43"/>
      <c r="O123" s="43"/>
      <c r="P123" s="43"/>
      <c r="Q123" s="43"/>
      <c r="R123" s="43"/>
      <c r="S123" s="45"/>
      <c r="T123" s="45"/>
      <c r="U123" s="43"/>
    </row>
    <row r="124" spans="1:21" ht="54" customHeight="1" x14ac:dyDescent="0.3">
      <c r="A124" s="44">
        <v>123</v>
      </c>
      <c r="B124" s="45" t="s">
        <v>21</v>
      </c>
      <c r="C124" s="45" t="s">
        <v>336</v>
      </c>
      <c r="D124" s="45" t="s">
        <v>400</v>
      </c>
      <c r="E124" s="45" t="s">
        <v>35</v>
      </c>
      <c r="F124" s="45" t="s">
        <v>336</v>
      </c>
      <c r="G124" s="43" t="s">
        <v>401</v>
      </c>
      <c r="H124" s="43" t="s">
        <v>402</v>
      </c>
      <c r="I124" s="45" t="s">
        <v>27</v>
      </c>
      <c r="J124" s="45"/>
      <c r="K124" s="45"/>
      <c r="L124" s="43"/>
      <c r="M124" s="43"/>
      <c r="N124" s="43"/>
      <c r="O124" s="43"/>
      <c r="P124" s="43"/>
      <c r="Q124" s="43"/>
      <c r="R124" s="43"/>
      <c r="S124" s="45"/>
      <c r="T124" s="45"/>
      <c r="U124" s="43"/>
    </row>
    <row r="125" spans="1:21" ht="54" customHeight="1" x14ac:dyDescent="0.3">
      <c r="A125" s="44">
        <v>124</v>
      </c>
      <c r="B125" s="45" t="s">
        <v>21</v>
      </c>
      <c r="C125" s="45" t="s">
        <v>336</v>
      </c>
      <c r="D125" s="45" t="s">
        <v>403</v>
      </c>
      <c r="E125" s="45" t="s">
        <v>24</v>
      </c>
      <c r="F125" s="45" t="s">
        <v>336</v>
      </c>
      <c r="G125" s="43" t="s">
        <v>404</v>
      </c>
      <c r="H125" s="43" t="s">
        <v>405</v>
      </c>
      <c r="I125" s="45" t="s">
        <v>27</v>
      </c>
      <c r="J125" s="45"/>
      <c r="K125" s="45"/>
      <c r="L125" s="43"/>
      <c r="M125" s="43"/>
      <c r="N125" s="43"/>
      <c r="O125" s="43"/>
      <c r="P125" s="43"/>
      <c r="Q125" s="43"/>
      <c r="R125" s="43"/>
      <c r="S125" s="45"/>
      <c r="T125" s="45"/>
      <c r="U125" s="43"/>
    </row>
    <row r="126" spans="1:21" ht="54" customHeight="1" x14ac:dyDescent="0.3">
      <c r="A126" s="44">
        <v>125</v>
      </c>
      <c r="B126" s="45" t="s">
        <v>21</v>
      </c>
      <c r="C126" s="45" t="s">
        <v>336</v>
      </c>
      <c r="D126" s="45" t="s">
        <v>406</v>
      </c>
      <c r="E126" s="45" t="s">
        <v>35</v>
      </c>
      <c r="F126" s="45" t="s">
        <v>336</v>
      </c>
      <c r="G126" s="43" t="s">
        <v>407</v>
      </c>
      <c r="H126" s="43" t="s">
        <v>408</v>
      </c>
      <c r="I126" s="45" t="s">
        <v>27</v>
      </c>
      <c r="J126" s="45"/>
      <c r="K126" s="45"/>
      <c r="L126" s="43"/>
      <c r="M126" s="43"/>
      <c r="N126" s="43"/>
      <c r="O126" s="43"/>
      <c r="P126" s="43"/>
      <c r="Q126" s="43"/>
      <c r="R126" s="43"/>
      <c r="S126" s="45"/>
      <c r="T126" s="45"/>
      <c r="U126" s="43"/>
    </row>
    <row r="127" spans="1:21" ht="54" customHeight="1" x14ac:dyDescent="0.3">
      <c r="A127" s="44">
        <v>126</v>
      </c>
      <c r="B127" s="45" t="s">
        <v>21</v>
      </c>
      <c r="C127" s="45" t="s">
        <v>336</v>
      </c>
      <c r="D127" s="45" t="s">
        <v>409</v>
      </c>
      <c r="E127" s="45" t="s">
        <v>35</v>
      </c>
      <c r="F127" s="45" t="s">
        <v>336</v>
      </c>
      <c r="G127" s="43" t="s">
        <v>410</v>
      </c>
      <c r="H127" s="43" t="s">
        <v>411</v>
      </c>
      <c r="I127" s="45" t="s">
        <v>27</v>
      </c>
      <c r="J127" s="45"/>
      <c r="K127" s="45"/>
      <c r="L127" s="43"/>
      <c r="M127" s="43"/>
      <c r="N127" s="43"/>
      <c r="O127" s="43"/>
      <c r="P127" s="43"/>
      <c r="Q127" s="43"/>
      <c r="R127" s="43"/>
      <c r="S127" s="45"/>
      <c r="T127" s="45"/>
      <c r="U127" s="43"/>
    </row>
    <row r="128" spans="1:21" ht="54" customHeight="1" x14ac:dyDescent="0.3">
      <c r="A128" s="44">
        <v>127</v>
      </c>
      <c r="B128" s="45" t="s">
        <v>21</v>
      </c>
      <c r="C128" s="45" t="s">
        <v>412</v>
      </c>
      <c r="D128" s="45" t="s">
        <v>413</v>
      </c>
      <c r="E128" s="45" t="s">
        <v>24</v>
      </c>
      <c r="F128" s="45" t="s">
        <v>412</v>
      </c>
      <c r="G128" s="43" t="s">
        <v>414</v>
      </c>
      <c r="H128" s="43" t="s">
        <v>415</v>
      </c>
      <c r="I128" s="45" t="s">
        <v>27</v>
      </c>
      <c r="J128" s="45"/>
      <c r="K128" s="45"/>
      <c r="L128" s="43"/>
      <c r="M128" s="43"/>
      <c r="N128" s="43"/>
      <c r="O128" s="43"/>
      <c r="P128" s="43"/>
      <c r="Q128" s="43"/>
      <c r="R128" s="43"/>
      <c r="S128" s="45"/>
      <c r="T128" s="45"/>
      <c r="U128" s="43"/>
    </row>
    <row r="129" spans="1:21" ht="54" customHeight="1" x14ac:dyDescent="0.3">
      <c r="A129" s="44">
        <v>128</v>
      </c>
      <c r="B129" s="45" t="s">
        <v>21</v>
      </c>
      <c r="C129" s="45" t="s">
        <v>412</v>
      </c>
      <c r="D129" s="45" t="s">
        <v>416</v>
      </c>
      <c r="E129" s="45" t="s">
        <v>24</v>
      </c>
      <c r="F129" s="45" t="s">
        <v>412</v>
      </c>
      <c r="G129" s="43" t="s">
        <v>417</v>
      </c>
      <c r="H129" s="43" t="s">
        <v>418</v>
      </c>
      <c r="I129" s="45" t="s">
        <v>27</v>
      </c>
      <c r="J129" s="45"/>
      <c r="K129" s="45"/>
      <c r="L129" s="43"/>
      <c r="M129" s="43"/>
      <c r="N129" s="43"/>
      <c r="O129" s="43"/>
      <c r="P129" s="43"/>
      <c r="Q129" s="43"/>
      <c r="R129" s="43"/>
      <c r="S129" s="45"/>
      <c r="T129" s="45"/>
      <c r="U129" s="43"/>
    </row>
    <row r="130" spans="1:21" ht="54" customHeight="1" x14ac:dyDescent="0.3">
      <c r="A130" s="44">
        <v>129</v>
      </c>
      <c r="B130" s="45" t="s">
        <v>21</v>
      </c>
      <c r="C130" s="45" t="s">
        <v>412</v>
      </c>
      <c r="D130" s="45" t="s">
        <v>419</v>
      </c>
      <c r="E130" s="45" t="s">
        <v>24</v>
      </c>
      <c r="F130" s="45" t="s">
        <v>412</v>
      </c>
      <c r="G130" s="43" t="s">
        <v>420</v>
      </c>
      <c r="H130" s="43" t="s">
        <v>421</v>
      </c>
      <c r="I130" s="45" t="s">
        <v>27</v>
      </c>
      <c r="J130" s="45"/>
      <c r="K130" s="45"/>
      <c r="L130" s="43"/>
      <c r="M130" s="43"/>
      <c r="N130" s="43"/>
      <c r="O130" s="43"/>
      <c r="P130" s="43"/>
      <c r="Q130" s="43"/>
      <c r="R130" s="43"/>
      <c r="S130" s="45"/>
      <c r="T130" s="45"/>
      <c r="U130" s="43"/>
    </row>
    <row r="131" spans="1:21" ht="54" customHeight="1" x14ac:dyDescent="0.3">
      <c r="A131" s="44">
        <v>130</v>
      </c>
      <c r="B131" s="45" t="s">
        <v>21</v>
      </c>
      <c r="C131" s="45" t="s">
        <v>412</v>
      </c>
      <c r="D131" s="45" t="s">
        <v>422</v>
      </c>
      <c r="E131" s="45" t="s">
        <v>35</v>
      </c>
      <c r="F131" s="45" t="s">
        <v>412</v>
      </c>
      <c r="G131" s="43" t="s">
        <v>423</v>
      </c>
      <c r="H131" s="43" t="s">
        <v>424</v>
      </c>
      <c r="I131" s="45" t="s">
        <v>27</v>
      </c>
      <c r="J131" s="45"/>
      <c r="K131" s="45"/>
      <c r="L131" s="43"/>
      <c r="M131" s="43"/>
      <c r="N131" s="43"/>
      <c r="O131" s="43"/>
      <c r="P131" s="43"/>
      <c r="Q131" s="43"/>
      <c r="R131" s="43"/>
      <c r="S131" s="45"/>
      <c r="T131" s="45"/>
      <c r="U131" s="43"/>
    </row>
    <row r="132" spans="1:21" ht="54" customHeight="1" x14ac:dyDescent="0.3">
      <c r="A132" s="44">
        <v>131</v>
      </c>
      <c r="B132" s="45" t="s">
        <v>21</v>
      </c>
      <c r="C132" s="45" t="s">
        <v>412</v>
      </c>
      <c r="D132" s="45" t="s">
        <v>425</v>
      </c>
      <c r="E132" s="45" t="s">
        <v>35</v>
      </c>
      <c r="F132" s="45" t="s">
        <v>412</v>
      </c>
      <c r="G132" s="43" t="s">
        <v>426</v>
      </c>
      <c r="H132" s="43" t="s">
        <v>427</v>
      </c>
      <c r="I132" s="45" t="s">
        <v>27</v>
      </c>
      <c r="J132" s="45"/>
      <c r="K132" s="45"/>
      <c r="L132" s="43"/>
      <c r="M132" s="43"/>
      <c r="N132" s="43"/>
      <c r="O132" s="43"/>
      <c r="P132" s="43"/>
      <c r="Q132" s="43"/>
      <c r="R132" s="43"/>
      <c r="S132" s="45"/>
      <c r="T132" s="45"/>
      <c r="U132" s="43"/>
    </row>
    <row r="133" spans="1:21" ht="54" customHeight="1" x14ac:dyDescent="0.3">
      <c r="A133" s="44">
        <v>132</v>
      </c>
      <c r="B133" s="45" t="s">
        <v>21</v>
      </c>
      <c r="C133" s="45" t="s">
        <v>412</v>
      </c>
      <c r="D133" s="45" t="s">
        <v>428</v>
      </c>
      <c r="E133" s="45" t="s">
        <v>35</v>
      </c>
      <c r="F133" s="45" t="s">
        <v>412</v>
      </c>
      <c r="G133" s="43" t="s">
        <v>429</v>
      </c>
      <c r="H133" s="43" t="s">
        <v>430</v>
      </c>
      <c r="I133" s="45" t="s">
        <v>27</v>
      </c>
      <c r="J133" s="45"/>
      <c r="K133" s="45"/>
      <c r="L133" s="43"/>
      <c r="M133" s="43"/>
      <c r="N133" s="43"/>
      <c r="O133" s="43"/>
      <c r="P133" s="43"/>
      <c r="Q133" s="43"/>
      <c r="R133" s="43"/>
      <c r="S133" s="45"/>
      <c r="T133" s="45"/>
      <c r="U133" s="43"/>
    </row>
    <row r="134" spans="1:21" ht="54" customHeight="1" x14ac:dyDescent="0.3">
      <c r="A134" s="44">
        <v>133</v>
      </c>
      <c r="B134" s="45" t="s">
        <v>21</v>
      </c>
      <c r="C134" s="45" t="s">
        <v>412</v>
      </c>
      <c r="D134" s="45" t="s">
        <v>431</v>
      </c>
      <c r="E134" s="45" t="s">
        <v>35</v>
      </c>
      <c r="F134" s="45" t="s">
        <v>412</v>
      </c>
      <c r="G134" s="43" t="s">
        <v>432</v>
      </c>
      <c r="H134" s="43" t="s">
        <v>433</v>
      </c>
      <c r="I134" s="45" t="s">
        <v>27</v>
      </c>
      <c r="J134" s="45"/>
      <c r="K134" s="45"/>
      <c r="L134" s="43"/>
      <c r="M134" s="43"/>
      <c r="N134" s="43"/>
      <c r="O134" s="43"/>
      <c r="P134" s="43"/>
      <c r="Q134" s="43"/>
      <c r="R134" s="43"/>
      <c r="S134" s="45"/>
      <c r="T134" s="45"/>
      <c r="U134" s="43"/>
    </row>
    <row r="135" spans="1:21" ht="54" customHeight="1" x14ac:dyDescent="0.3">
      <c r="A135" s="44">
        <v>134</v>
      </c>
      <c r="B135" s="45" t="s">
        <v>21</v>
      </c>
      <c r="C135" s="45" t="s">
        <v>412</v>
      </c>
      <c r="D135" s="45" t="s">
        <v>434</v>
      </c>
      <c r="E135" s="45" t="s">
        <v>24</v>
      </c>
      <c r="F135" s="45" t="s">
        <v>412</v>
      </c>
      <c r="G135" s="43" t="s">
        <v>435</v>
      </c>
      <c r="H135" s="43" t="s">
        <v>436</v>
      </c>
      <c r="I135" s="45" t="s">
        <v>27</v>
      </c>
      <c r="J135" s="45"/>
      <c r="K135" s="45"/>
      <c r="L135" s="43"/>
      <c r="M135" s="43"/>
      <c r="N135" s="43"/>
      <c r="O135" s="43"/>
      <c r="P135" s="43"/>
      <c r="Q135" s="43"/>
      <c r="R135" s="43"/>
      <c r="S135" s="45"/>
      <c r="T135" s="45"/>
      <c r="U135" s="43"/>
    </row>
    <row r="136" spans="1:21" ht="54" customHeight="1" x14ac:dyDescent="0.3">
      <c r="A136" s="44">
        <v>135</v>
      </c>
      <c r="B136" s="45" t="s">
        <v>21</v>
      </c>
      <c r="C136" s="45" t="s">
        <v>412</v>
      </c>
      <c r="D136" s="45" t="s">
        <v>437</v>
      </c>
      <c r="E136" s="45" t="s">
        <v>24</v>
      </c>
      <c r="F136" s="45" t="s">
        <v>412</v>
      </c>
      <c r="G136" s="43" t="s">
        <v>438</v>
      </c>
      <c r="H136" s="43" t="s">
        <v>439</v>
      </c>
      <c r="I136" s="45" t="s">
        <v>27</v>
      </c>
      <c r="J136" s="45"/>
      <c r="K136" s="45"/>
      <c r="L136" s="43"/>
      <c r="M136" s="43"/>
      <c r="N136" s="43"/>
      <c r="O136" s="43"/>
      <c r="P136" s="43"/>
      <c r="Q136" s="43"/>
      <c r="R136" s="43"/>
      <c r="S136" s="45"/>
      <c r="T136" s="45"/>
      <c r="U136" s="43"/>
    </row>
    <row r="137" spans="1:21" ht="54" customHeight="1" x14ac:dyDescent="0.3">
      <c r="A137" s="44">
        <v>136</v>
      </c>
      <c r="B137" s="45" t="s">
        <v>21</v>
      </c>
      <c r="C137" s="45" t="s">
        <v>412</v>
      </c>
      <c r="D137" s="45" t="s">
        <v>440</v>
      </c>
      <c r="E137" s="45" t="s">
        <v>35</v>
      </c>
      <c r="F137" s="45" t="s">
        <v>412</v>
      </c>
      <c r="G137" s="43" t="s">
        <v>441</v>
      </c>
      <c r="H137" s="43" t="s">
        <v>442</v>
      </c>
      <c r="I137" s="45" t="s">
        <v>27</v>
      </c>
      <c r="J137" s="45"/>
      <c r="K137" s="45"/>
      <c r="L137" s="43"/>
      <c r="M137" s="43"/>
      <c r="N137" s="43"/>
      <c r="O137" s="43"/>
      <c r="P137" s="43"/>
      <c r="Q137" s="43"/>
      <c r="R137" s="43"/>
      <c r="S137" s="45"/>
      <c r="T137" s="45"/>
      <c r="U137" s="43"/>
    </row>
    <row r="138" spans="1:21" ht="54" customHeight="1" x14ac:dyDescent="0.3">
      <c r="A138" s="44">
        <v>137</v>
      </c>
      <c r="B138" s="45" t="s">
        <v>21</v>
      </c>
      <c r="C138" s="45" t="s">
        <v>412</v>
      </c>
      <c r="D138" s="45" t="s">
        <v>443</v>
      </c>
      <c r="E138" s="45" t="s">
        <v>35</v>
      </c>
      <c r="F138" s="45" t="s">
        <v>412</v>
      </c>
      <c r="G138" s="43" t="s">
        <v>444</v>
      </c>
      <c r="H138" s="43" t="s">
        <v>445</v>
      </c>
      <c r="I138" s="45" t="s">
        <v>27</v>
      </c>
      <c r="J138" s="45"/>
      <c r="K138" s="45"/>
      <c r="L138" s="43"/>
      <c r="M138" s="43"/>
      <c r="N138" s="43"/>
      <c r="O138" s="43"/>
      <c r="P138" s="43"/>
      <c r="Q138" s="43"/>
      <c r="R138" s="43"/>
      <c r="S138" s="45"/>
      <c r="T138" s="45"/>
      <c r="U138" s="43"/>
    </row>
    <row r="139" spans="1:21" ht="54" customHeight="1" x14ac:dyDescent="0.3">
      <c r="A139" s="44">
        <v>138</v>
      </c>
      <c r="B139" s="45" t="s">
        <v>21</v>
      </c>
      <c r="C139" s="45" t="s">
        <v>412</v>
      </c>
      <c r="D139" s="45" t="s">
        <v>446</v>
      </c>
      <c r="E139" s="45" t="s">
        <v>35</v>
      </c>
      <c r="F139" s="45" t="s">
        <v>412</v>
      </c>
      <c r="G139" s="43" t="s">
        <v>447</v>
      </c>
      <c r="H139" s="43" t="s">
        <v>448</v>
      </c>
      <c r="I139" s="45" t="s">
        <v>27</v>
      </c>
      <c r="J139" s="45"/>
      <c r="K139" s="45"/>
      <c r="L139" s="43"/>
      <c r="M139" s="43"/>
      <c r="N139" s="43"/>
      <c r="O139" s="43"/>
      <c r="P139" s="43"/>
      <c r="Q139" s="43"/>
      <c r="R139" s="43"/>
      <c r="S139" s="45"/>
      <c r="T139" s="45"/>
      <c r="U139" s="43"/>
    </row>
    <row r="140" spans="1:21" ht="54" customHeight="1" x14ac:dyDescent="0.3">
      <c r="A140" s="44">
        <v>139</v>
      </c>
      <c r="B140" s="45" t="s">
        <v>21</v>
      </c>
      <c r="C140" s="45" t="s">
        <v>412</v>
      </c>
      <c r="D140" s="45" t="s">
        <v>449</v>
      </c>
      <c r="E140" s="45" t="s">
        <v>35</v>
      </c>
      <c r="F140" s="45" t="s">
        <v>412</v>
      </c>
      <c r="G140" s="43" t="s">
        <v>450</v>
      </c>
      <c r="H140" s="43" t="s">
        <v>451</v>
      </c>
      <c r="I140" s="45" t="s">
        <v>27</v>
      </c>
      <c r="J140" s="45"/>
      <c r="K140" s="45"/>
      <c r="L140" s="43"/>
      <c r="M140" s="43"/>
      <c r="N140" s="43"/>
      <c r="O140" s="43"/>
      <c r="P140" s="43"/>
      <c r="Q140" s="43"/>
      <c r="R140" s="43"/>
      <c r="S140" s="45"/>
      <c r="T140" s="45"/>
      <c r="U140" s="43"/>
    </row>
    <row r="141" spans="1:21" ht="54" customHeight="1" x14ac:dyDescent="0.3">
      <c r="A141" s="44">
        <v>140</v>
      </c>
      <c r="B141" s="45" t="s">
        <v>21</v>
      </c>
      <c r="C141" s="45" t="s">
        <v>412</v>
      </c>
      <c r="D141" s="45" t="s">
        <v>452</v>
      </c>
      <c r="E141" s="45" t="s">
        <v>35</v>
      </c>
      <c r="F141" s="45" t="s">
        <v>412</v>
      </c>
      <c r="G141" s="43" t="s">
        <v>453</v>
      </c>
      <c r="H141" s="43" t="s">
        <v>454</v>
      </c>
      <c r="I141" s="45" t="s">
        <v>27</v>
      </c>
      <c r="J141" s="45"/>
      <c r="K141" s="45"/>
      <c r="L141" s="43"/>
      <c r="M141" s="43"/>
      <c r="N141" s="43"/>
      <c r="O141" s="43"/>
      <c r="P141" s="43"/>
      <c r="Q141" s="43"/>
      <c r="R141" s="43"/>
      <c r="S141" s="45"/>
      <c r="T141" s="45"/>
      <c r="U141" s="43"/>
    </row>
    <row r="142" spans="1:21" ht="54" customHeight="1" x14ac:dyDescent="0.3">
      <c r="A142" s="44">
        <v>141</v>
      </c>
      <c r="B142" s="45" t="s">
        <v>21</v>
      </c>
      <c r="C142" s="45" t="s">
        <v>412</v>
      </c>
      <c r="D142" s="45" t="s">
        <v>455</v>
      </c>
      <c r="E142" s="45" t="s">
        <v>35</v>
      </c>
      <c r="F142" s="45" t="s">
        <v>412</v>
      </c>
      <c r="G142" s="43" t="s">
        <v>456</v>
      </c>
      <c r="H142" s="43" t="s">
        <v>457</v>
      </c>
      <c r="I142" s="45" t="s">
        <v>27</v>
      </c>
      <c r="J142" s="45"/>
      <c r="K142" s="45"/>
      <c r="L142" s="43"/>
      <c r="M142" s="43"/>
      <c r="N142" s="43"/>
      <c r="O142" s="43"/>
      <c r="P142" s="43"/>
      <c r="Q142" s="43"/>
      <c r="R142" s="43"/>
      <c r="S142" s="45"/>
      <c r="T142" s="45"/>
      <c r="U142" s="43"/>
    </row>
    <row r="143" spans="1:21" ht="54" customHeight="1" x14ac:dyDescent="0.3">
      <c r="A143" s="44">
        <v>142</v>
      </c>
      <c r="B143" s="45" t="s">
        <v>458</v>
      </c>
      <c r="C143" s="45" t="s">
        <v>459</v>
      </c>
      <c r="D143" s="45" t="s">
        <v>460</v>
      </c>
      <c r="E143" s="45" t="s">
        <v>24</v>
      </c>
      <c r="F143" s="45" t="s">
        <v>461</v>
      </c>
      <c r="G143" s="43" t="s">
        <v>462</v>
      </c>
      <c r="H143" s="43" t="s">
        <v>463</v>
      </c>
      <c r="I143" s="45" t="s">
        <v>27</v>
      </c>
      <c r="J143" s="45"/>
      <c r="K143" s="45"/>
      <c r="L143" s="43"/>
      <c r="M143" s="43"/>
      <c r="N143" s="43"/>
      <c r="O143" s="43"/>
      <c r="P143" s="43"/>
      <c r="Q143" s="43"/>
      <c r="R143" s="43"/>
      <c r="S143" s="45"/>
      <c r="T143" s="45"/>
      <c r="U143" s="43"/>
    </row>
    <row r="144" spans="1:21" ht="54" customHeight="1" x14ac:dyDescent="0.3">
      <c r="A144" s="44">
        <v>143</v>
      </c>
      <c r="B144" s="45" t="s">
        <v>458</v>
      </c>
      <c r="C144" s="45" t="s">
        <v>459</v>
      </c>
      <c r="D144" s="45" t="s">
        <v>464</v>
      </c>
      <c r="E144" s="45" t="s">
        <v>24</v>
      </c>
      <c r="F144" s="45" t="s">
        <v>465</v>
      </c>
      <c r="G144" s="43" t="s">
        <v>466</v>
      </c>
      <c r="H144" s="43" t="s">
        <v>467</v>
      </c>
      <c r="I144" s="45" t="s">
        <v>27</v>
      </c>
      <c r="J144" s="45"/>
      <c r="K144" s="45"/>
      <c r="L144" s="43"/>
      <c r="M144" s="43"/>
      <c r="N144" s="43"/>
      <c r="O144" s="43"/>
      <c r="P144" s="43"/>
      <c r="Q144" s="43"/>
      <c r="R144" s="43"/>
      <c r="S144" s="45"/>
      <c r="T144" s="45"/>
      <c r="U144" s="43"/>
    </row>
    <row r="145" spans="1:21" ht="54" customHeight="1" x14ac:dyDescent="0.3">
      <c r="A145" s="44">
        <v>144</v>
      </c>
      <c r="B145" s="45" t="s">
        <v>458</v>
      </c>
      <c r="C145" s="45" t="s">
        <v>459</v>
      </c>
      <c r="D145" s="45" t="s">
        <v>468</v>
      </c>
      <c r="E145" s="45" t="s">
        <v>24</v>
      </c>
      <c r="F145" s="45" t="s">
        <v>469</v>
      </c>
      <c r="G145" s="43" t="s">
        <v>470</v>
      </c>
      <c r="H145" s="43" t="s">
        <v>471</v>
      </c>
      <c r="I145" s="45" t="s">
        <v>27</v>
      </c>
      <c r="J145" s="45"/>
      <c r="K145" s="45"/>
      <c r="L145" s="43"/>
      <c r="M145" s="43"/>
      <c r="N145" s="43"/>
      <c r="O145" s="43"/>
      <c r="P145" s="43"/>
      <c r="Q145" s="43"/>
      <c r="R145" s="43"/>
      <c r="S145" s="45"/>
      <c r="T145" s="45"/>
      <c r="U145" s="43"/>
    </row>
    <row r="146" spans="1:21" ht="54" customHeight="1" x14ac:dyDescent="0.3">
      <c r="A146" s="44">
        <v>145</v>
      </c>
      <c r="B146" s="45" t="s">
        <v>458</v>
      </c>
      <c r="C146" s="45" t="s">
        <v>459</v>
      </c>
      <c r="D146" s="45" t="s">
        <v>472</v>
      </c>
      <c r="E146" s="45" t="s">
        <v>24</v>
      </c>
      <c r="F146" s="45" t="s">
        <v>473</v>
      </c>
      <c r="G146" s="43" t="s">
        <v>474</v>
      </c>
      <c r="H146" s="43" t="s">
        <v>475</v>
      </c>
      <c r="I146" s="45" t="s">
        <v>27</v>
      </c>
      <c r="J146" s="45"/>
      <c r="K146" s="45"/>
      <c r="L146" s="43"/>
      <c r="M146" s="43"/>
      <c r="N146" s="43"/>
      <c r="O146" s="43"/>
      <c r="P146" s="43"/>
      <c r="Q146" s="43"/>
      <c r="R146" s="43"/>
      <c r="S146" s="45"/>
      <c r="T146" s="45"/>
      <c r="U146" s="43"/>
    </row>
    <row r="147" spans="1:21" ht="54" customHeight="1" x14ac:dyDescent="0.3">
      <c r="A147" s="44">
        <v>146</v>
      </c>
      <c r="B147" s="45" t="s">
        <v>458</v>
      </c>
      <c r="C147" s="45" t="s">
        <v>459</v>
      </c>
      <c r="D147" s="45" t="s">
        <v>476</v>
      </c>
      <c r="E147" s="45" t="s">
        <v>24</v>
      </c>
      <c r="F147" s="45" t="s">
        <v>477</v>
      </c>
      <c r="G147" s="43" t="s">
        <v>478</v>
      </c>
      <c r="H147" s="43" t="s">
        <v>479</v>
      </c>
      <c r="I147" s="45" t="s">
        <v>27</v>
      </c>
      <c r="J147" s="45"/>
      <c r="K147" s="45"/>
      <c r="L147" s="43"/>
      <c r="M147" s="43"/>
      <c r="N147" s="43"/>
      <c r="O147" s="43"/>
      <c r="P147" s="43"/>
      <c r="Q147" s="43"/>
      <c r="R147" s="43"/>
      <c r="S147" s="45"/>
      <c r="T147" s="45"/>
      <c r="U147" s="43"/>
    </row>
    <row r="148" spans="1:21" ht="54" customHeight="1" x14ac:dyDescent="0.3">
      <c r="A148" s="44">
        <v>147</v>
      </c>
      <c r="B148" s="45" t="s">
        <v>458</v>
      </c>
      <c r="C148" s="45" t="s">
        <v>459</v>
      </c>
      <c r="D148" s="45" t="s">
        <v>480</v>
      </c>
      <c r="E148" s="45" t="s">
        <v>24</v>
      </c>
      <c r="F148" s="45" t="s">
        <v>481</v>
      </c>
      <c r="G148" s="43" t="s">
        <v>482</v>
      </c>
      <c r="H148" s="43" t="s">
        <v>483</v>
      </c>
      <c r="I148" s="45" t="s">
        <v>27</v>
      </c>
      <c r="J148" s="45"/>
      <c r="K148" s="45"/>
      <c r="L148" s="43"/>
      <c r="M148" s="43"/>
      <c r="N148" s="43"/>
      <c r="O148" s="43"/>
      <c r="P148" s="43"/>
      <c r="Q148" s="43"/>
      <c r="R148" s="43"/>
      <c r="S148" s="45"/>
      <c r="T148" s="45"/>
      <c r="U148" s="43"/>
    </row>
    <row r="149" spans="1:21" ht="54" customHeight="1" x14ac:dyDescent="0.3">
      <c r="A149" s="44">
        <v>148</v>
      </c>
      <c r="B149" s="45" t="s">
        <v>458</v>
      </c>
      <c r="C149" s="45" t="s">
        <v>459</v>
      </c>
      <c r="D149" s="45" t="s">
        <v>484</v>
      </c>
      <c r="E149" s="45" t="s">
        <v>24</v>
      </c>
      <c r="F149" s="45" t="s">
        <v>485</v>
      </c>
      <c r="G149" s="43" t="s">
        <v>486</v>
      </c>
      <c r="H149" s="43" t="s">
        <v>487</v>
      </c>
      <c r="I149" s="45" t="s">
        <v>27</v>
      </c>
      <c r="J149" s="45"/>
      <c r="K149" s="45"/>
      <c r="L149" s="43"/>
      <c r="M149" s="43"/>
      <c r="N149" s="43"/>
      <c r="O149" s="43"/>
      <c r="P149" s="43"/>
      <c r="Q149" s="43"/>
      <c r="R149" s="43"/>
      <c r="S149" s="45"/>
      <c r="T149" s="45"/>
      <c r="U149" s="43"/>
    </row>
    <row r="150" spans="1:21" ht="54" customHeight="1" x14ac:dyDescent="0.3">
      <c r="A150" s="44">
        <v>149</v>
      </c>
      <c r="B150" s="45" t="s">
        <v>458</v>
      </c>
      <c r="C150" s="45" t="s">
        <v>459</v>
      </c>
      <c r="D150" s="45" t="s">
        <v>488</v>
      </c>
      <c r="E150" s="45" t="s">
        <v>24</v>
      </c>
      <c r="F150" s="45" t="s">
        <v>489</v>
      </c>
      <c r="G150" s="43" t="s">
        <v>490</v>
      </c>
      <c r="H150" s="43" t="s">
        <v>491</v>
      </c>
      <c r="I150" s="45" t="s">
        <v>27</v>
      </c>
      <c r="J150" s="45"/>
      <c r="K150" s="45"/>
      <c r="L150" s="43"/>
      <c r="M150" s="43"/>
      <c r="N150" s="43"/>
      <c r="O150" s="43"/>
      <c r="P150" s="43"/>
      <c r="Q150" s="43"/>
      <c r="R150" s="43"/>
      <c r="S150" s="45"/>
      <c r="T150" s="45"/>
      <c r="U150" s="43"/>
    </row>
    <row r="151" spans="1:21" ht="54" customHeight="1" x14ac:dyDescent="0.3">
      <c r="A151" s="44">
        <v>150</v>
      </c>
      <c r="B151" s="45" t="s">
        <v>458</v>
      </c>
      <c r="C151" s="45" t="s">
        <v>459</v>
      </c>
      <c r="D151" s="45" t="s">
        <v>492</v>
      </c>
      <c r="E151" s="45" t="s">
        <v>24</v>
      </c>
      <c r="F151" s="45" t="s">
        <v>493</v>
      </c>
      <c r="G151" s="43" t="s">
        <v>494</v>
      </c>
      <c r="H151" s="43" t="s">
        <v>495</v>
      </c>
      <c r="I151" s="45" t="s">
        <v>27</v>
      </c>
      <c r="J151" s="45"/>
      <c r="K151" s="45"/>
      <c r="L151" s="43"/>
      <c r="M151" s="43"/>
      <c r="N151" s="43"/>
      <c r="O151" s="43"/>
      <c r="P151" s="43"/>
      <c r="Q151" s="43"/>
      <c r="R151" s="43"/>
      <c r="S151" s="45"/>
      <c r="T151" s="45"/>
      <c r="U151" s="43"/>
    </row>
    <row r="152" spans="1:21" ht="54" customHeight="1" x14ac:dyDescent="0.3">
      <c r="A152" s="44">
        <v>151</v>
      </c>
      <c r="B152" s="45" t="s">
        <v>458</v>
      </c>
      <c r="C152" s="45" t="s">
        <v>459</v>
      </c>
      <c r="D152" s="45" t="s">
        <v>496</v>
      </c>
      <c r="E152" s="45" t="s">
        <v>24</v>
      </c>
      <c r="F152" s="45" t="s">
        <v>497</v>
      </c>
      <c r="G152" s="43" t="s">
        <v>498</v>
      </c>
      <c r="H152" s="43" t="s">
        <v>499</v>
      </c>
      <c r="I152" s="45" t="s">
        <v>27</v>
      </c>
      <c r="J152" s="45"/>
      <c r="K152" s="45"/>
      <c r="L152" s="43"/>
      <c r="M152" s="43"/>
      <c r="N152" s="43"/>
      <c r="O152" s="43"/>
      <c r="P152" s="43"/>
      <c r="Q152" s="43"/>
      <c r="R152" s="43"/>
      <c r="S152" s="45"/>
      <c r="T152" s="45"/>
      <c r="U152" s="43"/>
    </row>
    <row r="153" spans="1:21" ht="54" customHeight="1" x14ac:dyDescent="0.3">
      <c r="A153" s="44">
        <v>152</v>
      </c>
      <c r="B153" s="45" t="s">
        <v>458</v>
      </c>
      <c r="C153" s="45" t="s">
        <v>459</v>
      </c>
      <c r="D153" s="45" t="s">
        <v>500</v>
      </c>
      <c r="E153" s="45" t="s">
        <v>24</v>
      </c>
      <c r="F153" s="45" t="s">
        <v>501</v>
      </c>
      <c r="G153" s="43" t="s">
        <v>502</v>
      </c>
      <c r="H153" s="43" t="s">
        <v>503</v>
      </c>
      <c r="I153" s="45" t="s">
        <v>27</v>
      </c>
      <c r="J153" s="45"/>
      <c r="K153" s="45"/>
      <c r="L153" s="43"/>
      <c r="M153" s="43"/>
      <c r="N153" s="43"/>
      <c r="O153" s="43"/>
      <c r="P153" s="43"/>
      <c r="Q153" s="43"/>
      <c r="R153" s="43"/>
      <c r="S153" s="45"/>
      <c r="T153" s="45"/>
      <c r="U153" s="43"/>
    </row>
    <row r="154" spans="1:21" ht="54" customHeight="1" x14ac:dyDescent="0.3">
      <c r="A154" s="44">
        <v>153</v>
      </c>
      <c r="B154" s="45" t="s">
        <v>458</v>
      </c>
      <c r="C154" s="45" t="s">
        <v>459</v>
      </c>
      <c r="D154" s="45" t="s">
        <v>504</v>
      </c>
      <c r="E154" s="45" t="s">
        <v>24</v>
      </c>
      <c r="F154" s="45" t="s">
        <v>505</v>
      </c>
      <c r="G154" s="43" t="s">
        <v>506</v>
      </c>
      <c r="H154" s="43" t="s">
        <v>507</v>
      </c>
      <c r="I154" s="45" t="s">
        <v>27</v>
      </c>
      <c r="J154" s="45"/>
      <c r="K154" s="45"/>
      <c r="L154" s="43"/>
      <c r="M154" s="43"/>
      <c r="N154" s="43"/>
      <c r="O154" s="43"/>
      <c r="P154" s="43"/>
      <c r="Q154" s="43"/>
      <c r="R154" s="43"/>
      <c r="S154" s="45"/>
      <c r="T154" s="45"/>
      <c r="U154" s="43"/>
    </row>
    <row r="155" spans="1:21" ht="54" customHeight="1" x14ac:dyDescent="0.3">
      <c r="A155" s="44">
        <v>154</v>
      </c>
      <c r="B155" s="45" t="s">
        <v>458</v>
      </c>
      <c r="C155" s="45" t="s">
        <v>459</v>
      </c>
      <c r="D155" s="45" t="s">
        <v>508</v>
      </c>
      <c r="E155" s="45" t="s">
        <v>24</v>
      </c>
      <c r="F155" s="45" t="s">
        <v>509</v>
      </c>
      <c r="G155" s="43" t="s">
        <v>510</v>
      </c>
      <c r="H155" s="43" t="s">
        <v>511</v>
      </c>
      <c r="I155" s="45" t="s">
        <v>27</v>
      </c>
      <c r="J155" s="45"/>
      <c r="K155" s="45"/>
      <c r="L155" s="43"/>
      <c r="M155" s="43"/>
      <c r="N155" s="43"/>
      <c r="O155" s="43"/>
      <c r="P155" s="43"/>
      <c r="Q155" s="43"/>
      <c r="R155" s="43"/>
      <c r="S155" s="45"/>
      <c r="T155" s="45"/>
      <c r="U155" s="43"/>
    </row>
    <row r="156" spans="1:21" ht="54" customHeight="1" x14ac:dyDescent="0.3">
      <c r="A156" s="44">
        <v>155</v>
      </c>
      <c r="B156" s="45" t="s">
        <v>458</v>
      </c>
      <c r="C156" s="45" t="s">
        <v>459</v>
      </c>
      <c r="D156" s="45" t="s">
        <v>512</v>
      </c>
      <c r="E156" s="45" t="s">
        <v>24</v>
      </c>
      <c r="F156" s="45" t="s">
        <v>513</v>
      </c>
      <c r="G156" s="43" t="s">
        <v>514</v>
      </c>
      <c r="H156" s="43" t="s">
        <v>515</v>
      </c>
      <c r="I156" s="45" t="s">
        <v>27</v>
      </c>
      <c r="J156" s="45"/>
      <c r="K156" s="45"/>
      <c r="L156" s="43"/>
      <c r="M156" s="43"/>
      <c r="N156" s="43"/>
      <c r="O156" s="43"/>
      <c r="P156" s="43"/>
      <c r="Q156" s="43"/>
      <c r="R156" s="43"/>
      <c r="S156" s="45"/>
      <c r="T156" s="45"/>
      <c r="U156" s="43"/>
    </row>
    <row r="157" spans="1:21" ht="54" customHeight="1" x14ac:dyDescent="0.3">
      <c r="A157" s="44">
        <v>156</v>
      </c>
      <c r="B157" s="45" t="s">
        <v>458</v>
      </c>
      <c r="C157" s="45" t="s">
        <v>459</v>
      </c>
      <c r="D157" s="45" t="s">
        <v>516</v>
      </c>
      <c r="E157" s="45" t="s">
        <v>24</v>
      </c>
      <c r="F157" s="45" t="s">
        <v>517</v>
      </c>
      <c r="G157" s="43" t="s">
        <v>518</v>
      </c>
      <c r="H157" s="43" t="s">
        <v>519</v>
      </c>
      <c r="I157" s="45" t="s">
        <v>27</v>
      </c>
      <c r="J157" s="45"/>
      <c r="K157" s="45"/>
      <c r="L157" s="43"/>
      <c r="M157" s="43"/>
      <c r="N157" s="43"/>
      <c r="O157" s="43"/>
      <c r="P157" s="43"/>
      <c r="Q157" s="43"/>
      <c r="R157" s="43"/>
      <c r="S157" s="45"/>
      <c r="T157" s="45"/>
      <c r="U157" s="43"/>
    </row>
    <row r="158" spans="1:21" ht="54" customHeight="1" x14ac:dyDescent="0.3">
      <c r="A158" s="44">
        <v>157</v>
      </c>
      <c r="B158" s="45" t="s">
        <v>520</v>
      </c>
      <c r="C158" s="45" t="s">
        <v>521</v>
      </c>
      <c r="D158" s="45" t="s">
        <v>522</v>
      </c>
      <c r="E158" s="45" t="s">
        <v>35</v>
      </c>
      <c r="F158" s="45" t="s">
        <v>523</v>
      </c>
      <c r="G158" s="43" t="s">
        <v>524</v>
      </c>
      <c r="H158" s="43" t="s">
        <v>525</v>
      </c>
      <c r="I158" s="45" t="s">
        <v>27</v>
      </c>
      <c r="J158" s="45"/>
      <c r="K158" s="45"/>
      <c r="L158" s="43"/>
      <c r="M158" s="43"/>
      <c r="N158" s="43"/>
      <c r="O158" s="43"/>
      <c r="P158" s="43"/>
      <c r="Q158" s="43"/>
      <c r="R158" s="43"/>
      <c r="S158" s="45"/>
      <c r="T158" s="45"/>
      <c r="U158" s="43"/>
    </row>
    <row r="159" spans="1:21" ht="54" customHeight="1" x14ac:dyDescent="0.3">
      <c r="A159" s="44">
        <v>158</v>
      </c>
      <c r="B159" s="45" t="s">
        <v>520</v>
      </c>
      <c r="C159" s="45" t="s">
        <v>521</v>
      </c>
      <c r="D159" s="45" t="s">
        <v>526</v>
      </c>
      <c r="E159" s="45" t="s">
        <v>35</v>
      </c>
      <c r="F159" s="45" t="s">
        <v>527</v>
      </c>
      <c r="G159" s="43" t="s">
        <v>528</v>
      </c>
      <c r="H159" s="43" t="s">
        <v>529</v>
      </c>
      <c r="I159" s="45" t="s">
        <v>27</v>
      </c>
      <c r="J159" s="45"/>
      <c r="K159" s="45"/>
      <c r="L159" s="43"/>
      <c r="M159" s="43"/>
      <c r="N159" s="43"/>
      <c r="O159" s="43"/>
      <c r="P159" s="43"/>
      <c r="Q159" s="43"/>
      <c r="R159" s="43"/>
      <c r="S159" s="45"/>
      <c r="T159" s="45"/>
      <c r="U159" s="43"/>
    </row>
    <row r="160" spans="1:21" ht="54" customHeight="1" x14ac:dyDescent="0.3">
      <c r="A160" s="44">
        <v>159</v>
      </c>
      <c r="B160" s="45" t="s">
        <v>520</v>
      </c>
      <c r="C160" s="45" t="s">
        <v>521</v>
      </c>
      <c r="D160" s="45" t="s">
        <v>530</v>
      </c>
      <c r="E160" s="45" t="s">
        <v>35</v>
      </c>
      <c r="F160" s="45" t="s">
        <v>531</v>
      </c>
      <c r="G160" s="43" t="s">
        <v>532</v>
      </c>
      <c r="H160" s="43" t="s">
        <v>533</v>
      </c>
      <c r="I160" s="45" t="s">
        <v>27</v>
      </c>
      <c r="J160" s="45"/>
      <c r="K160" s="45"/>
      <c r="L160" s="43"/>
      <c r="M160" s="43"/>
      <c r="N160" s="43"/>
      <c r="O160" s="43"/>
      <c r="P160" s="43"/>
      <c r="Q160" s="43"/>
      <c r="R160" s="43"/>
      <c r="S160" s="45"/>
      <c r="T160" s="45"/>
      <c r="U160" s="43"/>
    </row>
    <row r="161" spans="1:21" ht="54" customHeight="1" x14ac:dyDescent="0.3">
      <c r="A161" s="44">
        <v>160</v>
      </c>
      <c r="B161" s="45" t="s">
        <v>520</v>
      </c>
      <c r="C161" s="45" t="s">
        <v>521</v>
      </c>
      <c r="D161" s="45" t="s">
        <v>534</v>
      </c>
      <c r="E161" s="45" t="s">
        <v>35</v>
      </c>
      <c r="F161" s="45" t="s">
        <v>535</v>
      </c>
      <c r="G161" s="43" t="s">
        <v>536</v>
      </c>
      <c r="H161" s="43" t="s">
        <v>537</v>
      </c>
      <c r="I161" s="45" t="s">
        <v>27</v>
      </c>
      <c r="J161" s="45"/>
      <c r="K161" s="45"/>
      <c r="L161" s="43"/>
      <c r="M161" s="43"/>
      <c r="N161" s="43"/>
      <c r="O161" s="43"/>
      <c r="P161" s="43"/>
      <c r="Q161" s="43"/>
      <c r="R161" s="43"/>
      <c r="S161" s="45"/>
      <c r="T161" s="45"/>
      <c r="U161" s="43"/>
    </row>
    <row r="162" spans="1:21" ht="54" customHeight="1" x14ac:dyDescent="0.3">
      <c r="A162" s="44">
        <v>161</v>
      </c>
      <c r="B162" s="45" t="s">
        <v>520</v>
      </c>
      <c r="C162" s="45" t="s">
        <v>521</v>
      </c>
      <c r="D162" s="45" t="s">
        <v>538</v>
      </c>
      <c r="E162" s="45" t="s">
        <v>35</v>
      </c>
      <c r="F162" s="45" t="s">
        <v>539</v>
      </c>
      <c r="G162" s="43" t="s">
        <v>540</v>
      </c>
      <c r="H162" s="43" t="s">
        <v>541</v>
      </c>
      <c r="I162" s="45" t="s">
        <v>27</v>
      </c>
      <c r="J162" s="45"/>
      <c r="K162" s="45"/>
      <c r="L162" s="43"/>
      <c r="M162" s="43"/>
      <c r="N162" s="43"/>
      <c r="O162" s="43"/>
      <c r="P162" s="43"/>
      <c r="Q162" s="43"/>
      <c r="R162" s="43"/>
      <c r="S162" s="45"/>
      <c r="T162" s="45"/>
      <c r="U162" s="43"/>
    </row>
    <row r="163" spans="1:21" ht="54" customHeight="1" x14ac:dyDescent="0.3">
      <c r="A163" s="44">
        <v>162</v>
      </c>
      <c r="B163" s="45" t="s">
        <v>520</v>
      </c>
      <c r="C163" s="45" t="s">
        <v>521</v>
      </c>
      <c r="D163" s="45" t="s">
        <v>542</v>
      </c>
      <c r="E163" s="45" t="s">
        <v>35</v>
      </c>
      <c r="F163" s="45" t="s">
        <v>543</v>
      </c>
      <c r="G163" s="43" t="s">
        <v>544</v>
      </c>
      <c r="H163" s="43" t="s">
        <v>545</v>
      </c>
      <c r="I163" s="45" t="s">
        <v>27</v>
      </c>
      <c r="J163" s="45"/>
      <c r="K163" s="45"/>
      <c r="L163" s="43"/>
      <c r="M163" s="43"/>
      <c r="N163" s="43"/>
      <c r="O163" s="43"/>
      <c r="P163" s="43"/>
      <c r="Q163" s="43"/>
      <c r="R163" s="43"/>
      <c r="S163" s="45"/>
      <c r="T163" s="45"/>
      <c r="U163" s="43"/>
    </row>
    <row r="164" spans="1:21" ht="54" customHeight="1" x14ac:dyDescent="0.3">
      <c r="A164" s="44">
        <v>163</v>
      </c>
      <c r="B164" s="45" t="s">
        <v>520</v>
      </c>
      <c r="C164" s="45" t="s">
        <v>521</v>
      </c>
      <c r="D164" s="45" t="s">
        <v>546</v>
      </c>
      <c r="E164" s="45" t="s">
        <v>35</v>
      </c>
      <c r="F164" s="45" t="s">
        <v>547</v>
      </c>
      <c r="G164" s="43" t="s">
        <v>548</v>
      </c>
      <c r="H164" s="43" t="s">
        <v>549</v>
      </c>
      <c r="I164" s="45" t="s">
        <v>27</v>
      </c>
      <c r="J164" s="45"/>
      <c r="K164" s="45"/>
      <c r="L164" s="43"/>
      <c r="M164" s="43"/>
      <c r="N164" s="43"/>
      <c r="O164" s="43"/>
      <c r="P164" s="43"/>
      <c r="Q164" s="43"/>
      <c r="R164" s="43"/>
      <c r="S164" s="45"/>
      <c r="T164" s="45"/>
      <c r="U164" s="43"/>
    </row>
    <row r="165" spans="1:21" ht="54" customHeight="1" x14ac:dyDescent="0.3">
      <c r="A165" s="44">
        <v>164</v>
      </c>
      <c r="B165" s="45" t="s">
        <v>520</v>
      </c>
      <c r="C165" s="45" t="s">
        <v>521</v>
      </c>
      <c r="D165" s="45" t="s">
        <v>550</v>
      </c>
      <c r="E165" s="45" t="s">
        <v>35</v>
      </c>
      <c r="F165" s="45" t="s">
        <v>551</v>
      </c>
      <c r="G165" s="43" t="s">
        <v>552</v>
      </c>
      <c r="H165" s="43" t="s">
        <v>553</v>
      </c>
      <c r="I165" s="45" t="s">
        <v>27</v>
      </c>
      <c r="J165" s="45"/>
      <c r="K165" s="45"/>
      <c r="L165" s="43"/>
      <c r="M165" s="43"/>
      <c r="N165" s="43"/>
      <c r="O165" s="43"/>
      <c r="P165" s="43"/>
      <c r="Q165" s="43"/>
      <c r="R165" s="43"/>
      <c r="S165" s="45"/>
      <c r="T165" s="45"/>
      <c r="U165" s="43"/>
    </row>
    <row r="166" spans="1:21" ht="54" customHeight="1" x14ac:dyDescent="0.3">
      <c r="A166" s="44">
        <v>165</v>
      </c>
      <c r="B166" s="45" t="s">
        <v>520</v>
      </c>
      <c r="C166" s="45" t="s">
        <v>521</v>
      </c>
      <c r="D166" s="45" t="s">
        <v>554</v>
      </c>
      <c r="E166" s="45" t="s">
        <v>35</v>
      </c>
      <c r="F166" s="45" t="s">
        <v>555</v>
      </c>
      <c r="G166" s="43" t="s">
        <v>556</v>
      </c>
      <c r="H166" s="43" t="s">
        <v>557</v>
      </c>
      <c r="I166" s="45" t="s">
        <v>27</v>
      </c>
      <c r="J166" s="45"/>
      <c r="K166" s="45"/>
      <c r="L166" s="43"/>
      <c r="M166" s="43"/>
      <c r="N166" s="43"/>
      <c r="O166" s="43"/>
      <c r="P166" s="43"/>
      <c r="Q166" s="43"/>
      <c r="R166" s="43"/>
      <c r="S166" s="45"/>
      <c r="T166" s="45"/>
      <c r="U166" s="43"/>
    </row>
    <row r="167" spans="1:21" ht="54" customHeight="1" x14ac:dyDescent="0.3">
      <c r="A167" s="44">
        <v>166</v>
      </c>
      <c r="B167" s="45" t="s">
        <v>520</v>
      </c>
      <c r="C167" s="45" t="s">
        <v>521</v>
      </c>
      <c r="D167" s="45" t="s">
        <v>558</v>
      </c>
      <c r="E167" s="45" t="s">
        <v>35</v>
      </c>
      <c r="F167" s="45" t="s">
        <v>559</v>
      </c>
      <c r="G167" s="43" t="s">
        <v>560</v>
      </c>
      <c r="H167" s="43" t="s">
        <v>561</v>
      </c>
      <c r="I167" s="45" t="s">
        <v>27</v>
      </c>
      <c r="J167" s="45"/>
      <c r="K167" s="45"/>
      <c r="L167" s="43"/>
      <c r="M167" s="43"/>
      <c r="N167" s="43"/>
      <c r="O167" s="43"/>
      <c r="P167" s="43"/>
      <c r="Q167" s="43"/>
      <c r="R167" s="43"/>
      <c r="S167" s="45"/>
      <c r="T167" s="45"/>
      <c r="U167" s="43"/>
    </row>
    <row r="168" spans="1:21" ht="54" customHeight="1" x14ac:dyDescent="0.3">
      <c r="A168" s="44">
        <v>167</v>
      </c>
      <c r="B168" s="45" t="s">
        <v>520</v>
      </c>
      <c r="C168" s="45" t="s">
        <v>521</v>
      </c>
      <c r="D168" s="45" t="s">
        <v>562</v>
      </c>
      <c r="E168" s="45" t="s">
        <v>35</v>
      </c>
      <c r="F168" s="45" t="s">
        <v>563</v>
      </c>
      <c r="G168" s="43" t="s">
        <v>564</v>
      </c>
      <c r="H168" s="43" t="s">
        <v>565</v>
      </c>
      <c r="I168" s="45" t="s">
        <v>27</v>
      </c>
      <c r="J168" s="45"/>
      <c r="K168" s="45"/>
      <c r="L168" s="43"/>
      <c r="M168" s="43"/>
      <c r="N168" s="43"/>
      <c r="O168" s="43"/>
      <c r="P168" s="43"/>
      <c r="Q168" s="43"/>
      <c r="R168" s="43"/>
      <c r="S168" s="45"/>
      <c r="T168" s="45"/>
      <c r="U168" s="43"/>
    </row>
    <row r="169" spans="1:21" ht="54" customHeight="1" x14ac:dyDescent="0.3">
      <c r="A169" s="44">
        <v>168</v>
      </c>
      <c r="B169" s="45" t="s">
        <v>520</v>
      </c>
      <c r="C169" s="45" t="s">
        <v>521</v>
      </c>
      <c r="D169" s="45" t="s">
        <v>566</v>
      </c>
      <c r="E169" s="45" t="s">
        <v>35</v>
      </c>
      <c r="F169" s="45" t="s">
        <v>567</v>
      </c>
      <c r="G169" s="43" t="s">
        <v>568</v>
      </c>
      <c r="H169" s="43" t="s">
        <v>569</v>
      </c>
      <c r="I169" s="45" t="s">
        <v>27</v>
      </c>
      <c r="J169" s="45"/>
      <c r="K169" s="45"/>
      <c r="L169" s="43"/>
      <c r="M169" s="43"/>
      <c r="N169" s="43"/>
      <c r="O169" s="43"/>
      <c r="P169" s="43"/>
      <c r="Q169" s="43"/>
      <c r="R169" s="43"/>
      <c r="S169" s="45"/>
      <c r="T169" s="45"/>
      <c r="U169" s="43"/>
    </row>
    <row r="170" spans="1:21" ht="54" customHeight="1" x14ac:dyDescent="0.3">
      <c r="A170" s="44">
        <v>169</v>
      </c>
      <c r="B170" s="45" t="s">
        <v>520</v>
      </c>
      <c r="C170" s="45" t="s">
        <v>521</v>
      </c>
      <c r="D170" s="45" t="s">
        <v>570</v>
      </c>
      <c r="E170" s="45" t="s">
        <v>35</v>
      </c>
      <c r="F170" s="45" t="s">
        <v>571</v>
      </c>
      <c r="G170" s="43" t="s">
        <v>572</v>
      </c>
      <c r="H170" s="43" t="s">
        <v>573</v>
      </c>
      <c r="I170" s="45" t="s">
        <v>27</v>
      </c>
      <c r="J170" s="45"/>
      <c r="K170" s="45"/>
      <c r="L170" s="43"/>
      <c r="M170" s="43"/>
      <c r="N170" s="43"/>
      <c r="O170" s="43"/>
      <c r="P170" s="43"/>
      <c r="Q170" s="43"/>
      <c r="R170" s="43"/>
      <c r="S170" s="45"/>
      <c r="T170" s="45"/>
      <c r="U170" s="43"/>
    </row>
    <row r="171" spans="1:21" ht="54" customHeight="1" x14ac:dyDescent="0.3">
      <c r="A171" s="44">
        <v>170</v>
      </c>
      <c r="B171" s="45" t="s">
        <v>520</v>
      </c>
      <c r="C171" s="45" t="s">
        <v>521</v>
      </c>
      <c r="D171" s="45" t="s">
        <v>574</v>
      </c>
      <c r="E171" s="45" t="s">
        <v>35</v>
      </c>
      <c r="F171" s="45" t="s">
        <v>575</v>
      </c>
      <c r="G171" s="43" t="s">
        <v>576</v>
      </c>
      <c r="H171" s="43" t="s">
        <v>577</v>
      </c>
      <c r="I171" s="45" t="s">
        <v>27</v>
      </c>
      <c r="J171" s="45"/>
      <c r="K171" s="45"/>
      <c r="L171" s="43"/>
      <c r="M171" s="43"/>
      <c r="N171" s="43"/>
      <c r="O171" s="43"/>
      <c r="P171" s="43"/>
      <c r="Q171" s="43"/>
      <c r="R171" s="43"/>
      <c r="S171" s="45"/>
      <c r="T171" s="45"/>
      <c r="U171" s="43"/>
    </row>
    <row r="172" spans="1:21" ht="54" customHeight="1" x14ac:dyDescent="0.3">
      <c r="A172" s="44">
        <v>171</v>
      </c>
      <c r="B172" s="45" t="s">
        <v>520</v>
      </c>
      <c r="C172" s="45" t="s">
        <v>521</v>
      </c>
      <c r="D172" s="45" t="s">
        <v>578</v>
      </c>
      <c r="E172" s="45" t="s">
        <v>35</v>
      </c>
      <c r="F172" s="45" t="s">
        <v>579</v>
      </c>
      <c r="G172" s="43" t="s">
        <v>580</v>
      </c>
      <c r="H172" s="43" t="s">
        <v>581</v>
      </c>
      <c r="I172" s="45" t="s">
        <v>27</v>
      </c>
      <c r="J172" s="45"/>
      <c r="K172" s="45"/>
      <c r="L172" s="43"/>
      <c r="M172" s="43"/>
      <c r="N172" s="43"/>
      <c r="O172" s="43"/>
      <c r="P172" s="43"/>
      <c r="Q172" s="43"/>
      <c r="R172" s="43"/>
      <c r="S172" s="45"/>
      <c r="T172" s="45"/>
      <c r="U172" s="43"/>
    </row>
    <row r="173" spans="1:21" ht="54" customHeight="1" x14ac:dyDescent="0.3">
      <c r="A173" s="44">
        <v>172</v>
      </c>
      <c r="B173" s="45" t="s">
        <v>520</v>
      </c>
      <c r="C173" s="45" t="s">
        <v>521</v>
      </c>
      <c r="D173" s="45" t="s">
        <v>582</v>
      </c>
      <c r="E173" s="45" t="s">
        <v>35</v>
      </c>
      <c r="F173" s="45" t="s">
        <v>583</v>
      </c>
      <c r="G173" s="43" t="s">
        <v>584</v>
      </c>
      <c r="H173" s="43" t="s">
        <v>585</v>
      </c>
      <c r="I173" s="45" t="s">
        <v>27</v>
      </c>
      <c r="J173" s="45"/>
      <c r="K173" s="45"/>
      <c r="L173" s="43"/>
      <c r="M173" s="43"/>
      <c r="N173" s="43"/>
      <c r="O173" s="43"/>
      <c r="P173" s="43"/>
      <c r="Q173" s="43"/>
      <c r="R173" s="43"/>
      <c r="S173" s="45"/>
      <c r="T173" s="45"/>
      <c r="U173" s="43"/>
    </row>
    <row r="174" spans="1:21" ht="54" customHeight="1" x14ac:dyDescent="0.3">
      <c r="A174" s="44">
        <v>173</v>
      </c>
      <c r="B174" s="45" t="s">
        <v>520</v>
      </c>
      <c r="C174" s="45" t="s">
        <v>521</v>
      </c>
      <c r="D174" s="45" t="s">
        <v>586</v>
      </c>
      <c r="E174" s="45" t="s">
        <v>35</v>
      </c>
      <c r="F174" s="45" t="s">
        <v>587</v>
      </c>
      <c r="G174" s="43" t="s">
        <v>588</v>
      </c>
      <c r="H174" s="43" t="s">
        <v>589</v>
      </c>
      <c r="I174" s="45" t="s">
        <v>27</v>
      </c>
      <c r="J174" s="45"/>
      <c r="K174" s="45"/>
      <c r="L174" s="43"/>
      <c r="M174" s="43"/>
      <c r="N174" s="43"/>
      <c r="O174" s="43"/>
      <c r="P174" s="43"/>
      <c r="Q174" s="43"/>
      <c r="R174" s="43"/>
      <c r="S174" s="45"/>
      <c r="T174" s="45"/>
      <c r="U174" s="43"/>
    </row>
    <row r="175" spans="1:21" ht="54" customHeight="1" x14ac:dyDescent="0.3">
      <c r="A175" s="44">
        <v>174</v>
      </c>
      <c r="B175" s="45" t="s">
        <v>520</v>
      </c>
      <c r="C175" s="45" t="s">
        <v>521</v>
      </c>
      <c r="D175" s="45" t="s">
        <v>590</v>
      </c>
      <c r="E175" s="45" t="s">
        <v>35</v>
      </c>
      <c r="F175" s="45" t="s">
        <v>591</v>
      </c>
      <c r="G175" s="43" t="s">
        <v>592</v>
      </c>
      <c r="H175" s="43" t="s">
        <v>593</v>
      </c>
      <c r="I175" s="45" t="s">
        <v>27</v>
      </c>
      <c r="J175" s="45"/>
      <c r="K175" s="45"/>
      <c r="L175" s="43"/>
      <c r="M175" s="43"/>
      <c r="N175" s="43"/>
      <c r="O175" s="43"/>
      <c r="P175" s="43"/>
      <c r="Q175" s="43"/>
      <c r="R175" s="43"/>
      <c r="S175" s="45"/>
      <c r="T175" s="45"/>
      <c r="U175" s="43"/>
    </row>
    <row r="176" spans="1:21" ht="54" customHeight="1" x14ac:dyDescent="0.3">
      <c r="A176" s="44">
        <v>175</v>
      </c>
      <c r="B176" s="45" t="s">
        <v>520</v>
      </c>
      <c r="C176" s="45" t="s">
        <v>521</v>
      </c>
      <c r="D176" s="45" t="s">
        <v>594</v>
      </c>
      <c r="E176" s="45" t="s">
        <v>35</v>
      </c>
      <c r="F176" s="45" t="s">
        <v>595</v>
      </c>
      <c r="G176" s="43" t="s">
        <v>596</v>
      </c>
      <c r="H176" s="43" t="s">
        <v>597</v>
      </c>
      <c r="I176" s="45" t="s">
        <v>27</v>
      </c>
      <c r="J176" s="45"/>
      <c r="K176" s="45"/>
      <c r="L176" s="43"/>
      <c r="M176" s="43"/>
      <c r="N176" s="43"/>
      <c r="O176" s="43"/>
      <c r="P176" s="43"/>
      <c r="Q176" s="43"/>
      <c r="R176" s="43"/>
      <c r="S176" s="45"/>
      <c r="T176" s="45"/>
      <c r="U176" s="43"/>
    </row>
    <row r="177" spans="1:21" ht="54" customHeight="1" x14ac:dyDescent="0.3">
      <c r="A177" s="44">
        <v>176</v>
      </c>
      <c r="B177" s="45" t="s">
        <v>520</v>
      </c>
      <c r="C177" s="45" t="s">
        <v>521</v>
      </c>
      <c r="D177" s="45" t="s">
        <v>598</v>
      </c>
      <c r="E177" s="45" t="s">
        <v>35</v>
      </c>
      <c r="F177" s="45" t="s">
        <v>599</v>
      </c>
      <c r="G177" s="43" t="s">
        <v>600</v>
      </c>
      <c r="H177" s="43" t="s">
        <v>601</v>
      </c>
      <c r="I177" s="45" t="s">
        <v>27</v>
      </c>
      <c r="J177" s="45"/>
      <c r="K177" s="45"/>
      <c r="L177" s="43"/>
      <c r="M177" s="43"/>
      <c r="N177" s="43"/>
      <c r="O177" s="43"/>
      <c r="P177" s="43"/>
      <c r="Q177" s="43"/>
      <c r="R177" s="43"/>
      <c r="S177" s="45"/>
      <c r="T177" s="45"/>
      <c r="U177" s="43"/>
    </row>
    <row r="178" spans="1:21" ht="54" customHeight="1" x14ac:dyDescent="0.3">
      <c r="A178" s="44">
        <v>177</v>
      </c>
      <c r="B178" s="45" t="s">
        <v>520</v>
      </c>
      <c r="C178" s="45" t="s">
        <v>521</v>
      </c>
      <c r="D178" s="45" t="s">
        <v>602</v>
      </c>
      <c r="E178" s="45" t="s">
        <v>35</v>
      </c>
      <c r="F178" s="45" t="s">
        <v>603</v>
      </c>
      <c r="G178" s="43" t="s">
        <v>604</v>
      </c>
      <c r="H178" s="43" t="s">
        <v>605</v>
      </c>
      <c r="I178" s="45" t="s">
        <v>27</v>
      </c>
      <c r="J178" s="45"/>
      <c r="K178" s="45"/>
      <c r="L178" s="43"/>
      <c r="M178" s="43"/>
      <c r="N178" s="43"/>
      <c r="O178" s="43"/>
      <c r="P178" s="43"/>
      <c r="Q178" s="43"/>
      <c r="R178" s="43"/>
      <c r="S178" s="45"/>
      <c r="T178" s="45"/>
      <c r="U178" s="43"/>
    </row>
    <row r="179" spans="1:21" ht="54" customHeight="1" x14ac:dyDescent="0.3">
      <c r="A179" s="44">
        <v>178</v>
      </c>
      <c r="B179" s="45" t="s">
        <v>520</v>
      </c>
      <c r="C179" s="45" t="s">
        <v>521</v>
      </c>
      <c r="D179" s="45" t="s">
        <v>606</v>
      </c>
      <c r="E179" s="45" t="s">
        <v>35</v>
      </c>
      <c r="F179" s="45" t="s">
        <v>607</v>
      </c>
      <c r="G179" s="43" t="s">
        <v>608</v>
      </c>
      <c r="H179" s="43" t="s">
        <v>609</v>
      </c>
      <c r="I179" s="45" t="s">
        <v>27</v>
      </c>
      <c r="J179" s="45"/>
      <c r="K179" s="45"/>
      <c r="L179" s="43"/>
      <c r="M179" s="43"/>
      <c r="N179" s="43"/>
      <c r="O179" s="43"/>
      <c r="P179" s="43"/>
      <c r="Q179" s="43"/>
      <c r="R179" s="43"/>
      <c r="S179" s="45"/>
      <c r="T179" s="45"/>
      <c r="U179" s="43"/>
    </row>
    <row r="180" spans="1:21" ht="54" customHeight="1" x14ac:dyDescent="0.3">
      <c r="A180" s="44">
        <v>179</v>
      </c>
      <c r="B180" s="45" t="s">
        <v>520</v>
      </c>
      <c r="C180" s="45" t="s">
        <v>521</v>
      </c>
      <c r="D180" s="45" t="s">
        <v>610</v>
      </c>
      <c r="E180" s="45" t="s">
        <v>35</v>
      </c>
      <c r="F180" s="45" t="s">
        <v>611</v>
      </c>
      <c r="G180" s="43" t="s">
        <v>612</v>
      </c>
      <c r="H180" s="43" t="s">
        <v>613</v>
      </c>
      <c r="I180" s="45" t="s">
        <v>27</v>
      </c>
      <c r="J180" s="45"/>
      <c r="K180" s="45"/>
      <c r="L180" s="43"/>
      <c r="M180" s="43"/>
      <c r="N180" s="43"/>
      <c r="O180" s="43"/>
      <c r="P180" s="43"/>
      <c r="Q180" s="43"/>
      <c r="R180" s="43"/>
      <c r="S180" s="45"/>
      <c r="T180" s="45"/>
      <c r="U180" s="43"/>
    </row>
    <row r="181" spans="1:21" ht="54" customHeight="1" x14ac:dyDescent="0.3">
      <c r="A181" s="44">
        <v>180</v>
      </c>
      <c r="B181" s="45" t="s">
        <v>520</v>
      </c>
      <c r="C181" s="45" t="s">
        <v>521</v>
      </c>
      <c r="D181" s="45" t="s">
        <v>614</v>
      </c>
      <c r="E181" s="45" t="s">
        <v>35</v>
      </c>
      <c r="F181" s="45" t="s">
        <v>615</v>
      </c>
      <c r="G181" s="43" t="s">
        <v>616</v>
      </c>
      <c r="H181" s="43" t="s">
        <v>617</v>
      </c>
      <c r="I181" s="45" t="s">
        <v>27</v>
      </c>
      <c r="J181" s="45"/>
      <c r="K181" s="45"/>
      <c r="L181" s="43"/>
      <c r="M181" s="43"/>
      <c r="N181" s="43"/>
      <c r="O181" s="43"/>
      <c r="P181" s="43"/>
      <c r="Q181" s="43"/>
      <c r="R181" s="43"/>
      <c r="S181" s="45"/>
      <c r="T181" s="45"/>
      <c r="U181" s="43"/>
    </row>
    <row r="182" spans="1:21" ht="54" customHeight="1" x14ac:dyDescent="0.3">
      <c r="A182" s="44">
        <v>181</v>
      </c>
      <c r="B182" s="45" t="s">
        <v>520</v>
      </c>
      <c r="C182" s="45" t="s">
        <v>521</v>
      </c>
      <c r="D182" s="45" t="s">
        <v>618</v>
      </c>
      <c r="E182" s="45" t="s">
        <v>35</v>
      </c>
      <c r="F182" s="45" t="s">
        <v>619</v>
      </c>
      <c r="G182" s="43" t="s">
        <v>620</v>
      </c>
      <c r="H182" s="43" t="s">
        <v>621</v>
      </c>
      <c r="I182" s="45" t="s">
        <v>27</v>
      </c>
      <c r="J182" s="45"/>
      <c r="K182" s="45"/>
      <c r="L182" s="43"/>
      <c r="M182" s="43"/>
      <c r="N182" s="43"/>
      <c r="O182" s="43"/>
      <c r="P182" s="43"/>
      <c r="Q182" s="43"/>
      <c r="R182" s="43"/>
      <c r="S182" s="45"/>
      <c r="T182" s="45"/>
      <c r="U182" s="43"/>
    </row>
    <row r="183" spans="1:21" ht="54" customHeight="1" x14ac:dyDescent="0.3">
      <c r="A183" s="44">
        <v>182</v>
      </c>
      <c r="B183" s="45" t="s">
        <v>520</v>
      </c>
      <c r="C183" s="45" t="s">
        <v>521</v>
      </c>
      <c r="D183" s="45" t="s">
        <v>622</v>
      </c>
      <c r="E183" s="45" t="s">
        <v>35</v>
      </c>
      <c r="F183" s="45" t="s">
        <v>623</v>
      </c>
      <c r="G183" s="43" t="s">
        <v>624</v>
      </c>
      <c r="H183" s="43" t="s">
        <v>625</v>
      </c>
      <c r="I183" s="45" t="s">
        <v>27</v>
      </c>
      <c r="J183" s="45"/>
      <c r="K183" s="45"/>
      <c r="L183" s="43"/>
      <c r="M183" s="43"/>
      <c r="N183" s="43"/>
      <c r="O183" s="43"/>
      <c r="P183" s="43"/>
      <c r="Q183" s="43"/>
      <c r="R183" s="43"/>
      <c r="S183" s="45"/>
      <c r="T183" s="45"/>
      <c r="U183" s="43"/>
    </row>
    <row r="184" spans="1:21" ht="54" customHeight="1" x14ac:dyDescent="0.3">
      <c r="A184" s="44">
        <v>183</v>
      </c>
      <c r="B184" s="45" t="s">
        <v>520</v>
      </c>
      <c r="C184" s="45" t="s">
        <v>521</v>
      </c>
      <c r="D184" s="45" t="s">
        <v>626</v>
      </c>
      <c r="E184" s="45" t="s">
        <v>35</v>
      </c>
      <c r="F184" s="45" t="s">
        <v>627</v>
      </c>
      <c r="G184" s="43" t="s">
        <v>628</v>
      </c>
      <c r="H184" s="43" t="s">
        <v>629</v>
      </c>
      <c r="I184" s="45" t="s">
        <v>27</v>
      </c>
      <c r="J184" s="45"/>
      <c r="K184" s="45"/>
      <c r="L184" s="43"/>
      <c r="M184" s="43"/>
      <c r="N184" s="43"/>
      <c r="O184" s="43"/>
      <c r="P184" s="43"/>
      <c r="Q184" s="43"/>
      <c r="R184" s="43"/>
      <c r="S184" s="45"/>
      <c r="T184" s="45"/>
      <c r="U184" s="43"/>
    </row>
    <row r="185" spans="1:21" ht="54" customHeight="1" x14ac:dyDescent="0.3">
      <c r="A185" s="44">
        <v>184</v>
      </c>
      <c r="B185" s="45" t="s">
        <v>520</v>
      </c>
      <c r="C185" s="45" t="s">
        <v>521</v>
      </c>
      <c r="D185" s="45" t="s">
        <v>630</v>
      </c>
      <c r="E185" s="45" t="s">
        <v>35</v>
      </c>
      <c r="F185" s="45" t="s">
        <v>631</v>
      </c>
      <c r="G185" s="43" t="s">
        <v>632</v>
      </c>
      <c r="H185" s="43" t="s">
        <v>633</v>
      </c>
      <c r="I185" s="45" t="s">
        <v>27</v>
      </c>
      <c r="J185" s="45"/>
      <c r="K185" s="45"/>
      <c r="L185" s="43"/>
      <c r="M185" s="43"/>
      <c r="N185" s="43"/>
      <c r="O185" s="43"/>
      <c r="P185" s="43"/>
      <c r="Q185" s="43"/>
      <c r="R185" s="43"/>
      <c r="S185" s="45"/>
      <c r="T185" s="45"/>
      <c r="U185" s="43"/>
    </row>
    <row r="186" spans="1:21" ht="54" customHeight="1" x14ac:dyDescent="0.3">
      <c r="A186" s="44">
        <v>185</v>
      </c>
      <c r="B186" s="45" t="s">
        <v>520</v>
      </c>
      <c r="C186" s="45" t="s">
        <v>521</v>
      </c>
      <c r="D186" s="45" t="s">
        <v>634</v>
      </c>
      <c r="E186" s="45" t="s">
        <v>35</v>
      </c>
      <c r="F186" s="45" t="s">
        <v>635</v>
      </c>
      <c r="G186" s="43" t="s">
        <v>636</v>
      </c>
      <c r="H186" s="43" t="s">
        <v>637</v>
      </c>
      <c r="I186" s="45" t="s">
        <v>27</v>
      </c>
      <c r="J186" s="45"/>
      <c r="K186" s="45"/>
      <c r="L186" s="43"/>
      <c r="M186" s="43"/>
      <c r="N186" s="43"/>
      <c r="O186" s="43"/>
      <c r="P186" s="43"/>
      <c r="Q186" s="43"/>
      <c r="R186" s="43"/>
      <c r="S186" s="45"/>
      <c r="T186" s="45"/>
      <c r="U186" s="43"/>
    </row>
    <row r="187" spans="1:21" ht="54" customHeight="1" x14ac:dyDescent="0.3">
      <c r="A187" s="44">
        <v>186</v>
      </c>
      <c r="B187" s="45" t="s">
        <v>520</v>
      </c>
      <c r="C187" s="45" t="s">
        <v>521</v>
      </c>
      <c r="D187" s="45" t="s">
        <v>638</v>
      </c>
      <c r="E187" s="45" t="s">
        <v>35</v>
      </c>
      <c r="F187" s="45" t="s">
        <v>639</v>
      </c>
      <c r="G187" s="43" t="s">
        <v>640</v>
      </c>
      <c r="H187" s="43" t="s">
        <v>641</v>
      </c>
      <c r="I187" s="45" t="s">
        <v>27</v>
      </c>
      <c r="J187" s="45"/>
      <c r="K187" s="45"/>
      <c r="L187" s="43"/>
      <c r="M187" s="43"/>
      <c r="N187" s="43"/>
      <c r="O187" s="43"/>
      <c r="P187" s="43"/>
      <c r="Q187" s="43"/>
      <c r="R187" s="43"/>
      <c r="S187" s="45"/>
      <c r="T187" s="45"/>
      <c r="U187" s="43"/>
    </row>
    <row r="188" spans="1:21" ht="54" customHeight="1" x14ac:dyDescent="0.3">
      <c r="A188" s="44">
        <v>187</v>
      </c>
      <c r="B188" s="45" t="s">
        <v>520</v>
      </c>
      <c r="C188" s="45" t="s">
        <v>521</v>
      </c>
      <c r="D188" s="45" t="s">
        <v>642</v>
      </c>
      <c r="E188" s="45" t="s">
        <v>35</v>
      </c>
      <c r="F188" s="45" t="s">
        <v>643</v>
      </c>
      <c r="G188" s="43" t="s">
        <v>644</v>
      </c>
      <c r="H188" s="43" t="s">
        <v>645</v>
      </c>
      <c r="I188" s="45" t="s">
        <v>27</v>
      </c>
      <c r="J188" s="45"/>
      <c r="K188" s="45"/>
      <c r="L188" s="43"/>
      <c r="M188" s="43"/>
      <c r="N188" s="43"/>
      <c r="O188" s="43"/>
      <c r="P188" s="43"/>
      <c r="Q188" s="43"/>
      <c r="R188" s="43"/>
      <c r="S188" s="45"/>
      <c r="T188" s="45"/>
      <c r="U188" s="43"/>
    </row>
    <row r="189" spans="1:21" ht="54" customHeight="1" x14ac:dyDescent="0.3">
      <c r="A189" s="44">
        <v>188</v>
      </c>
      <c r="B189" s="45" t="s">
        <v>520</v>
      </c>
      <c r="C189" s="45" t="s">
        <v>521</v>
      </c>
      <c r="D189" s="45" t="s">
        <v>646</v>
      </c>
      <c r="E189" s="45" t="s">
        <v>35</v>
      </c>
      <c r="F189" s="45" t="s">
        <v>647</v>
      </c>
      <c r="G189" s="43" t="s">
        <v>648</v>
      </c>
      <c r="H189" s="43" t="s">
        <v>649</v>
      </c>
      <c r="I189" s="45" t="s">
        <v>27</v>
      </c>
      <c r="J189" s="45"/>
      <c r="K189" s="45"/>
      <c r="L189" s="43"/>
      <c r="M189" s="43"/>
      <c r="N189" s="43"/>
      <c r="O189" s="43"/>
      <c r="P189" s="43"/>
      <c r="Q189" s="43"/>
      <c r="R189" s="43"/>
      <c r="S189" s="45"/>
      <c r="T189" s="45"/>
      <c r="U189" s="43"/>
    </row>
    <row r="190" spans="1:21" ht="54" customHeight="1" x14ac:dyDescent="0.3">
      <c r="A190" s="44">
        <v>189</v>
      </c>
      <c r="B190" s="45" t="s">
        <v>520</v>
      </c>
      <c r="C190" s="45" t="s">
        <v>521</v>
      </c>
      <c r="D190" s="45" t="s">
        <v>650</v>
      </c>
      <c r="E190" s="45" t="s">
        <v>35</v>
      </c>
      <c r="F190" s="45" t="s">
        <v>651</v>
      </c>
      <c r="G190" s="43" t="s">
        <v>652</v>
      </c>
      <c r="H190" s="43" t="s">
        <v>653</v>
      </c>
      <c r="I190" s="45" t="s">
        <v>27</v>
      </c>
      <c r="J190" s="45"/>
      <c r="K190" s="45"/>
      <c r="L190" s="43"/>
      <c r="M190" s="43"/>
      <c r="N190" s="43"/>
      <c r="O190" s="43"/>
      <c r="P190" s="43"/>
      <c r="Q190" s="43"/>
      <c r="R190" s="43"/>
      <c r="S190" s="45"/>
      <c r="T190" s="45"/>
      <c r="U190" s="43"/>
    </row>
    <row r="191" spans="1:21" ht="54" customHeight="1" x14ac:dyDescent="0.3">
      <c r="A191" s="44">
        <v>190</v>
      </c>
      <c r="B191" s="45" t="s">
        <v>520</v>
      </c>
      <c r="C191" s="45" t="s">
        <v>521</v>
      </c>
      <c r="D191" s="45" t="s">
        <v>654</v>
      </c>
      <c r="E191" s="45" t="s">
        <v>35</v>
      </c>
      <c r="F191" s="45" t="s">
        <v>655</v>
      </c>
      <c r="G191" s="43" t="s">
        <v>656</v>
      </c>
      <c r="H191" s="43" t="s">
        <v>657</v>
      </c>
      <c r="I191" s="45" t="s">
        <v>27</v>
      </c>
      <c r="J191" s="45"/>
      <c r="K191" s="45"/>
      <c r="L191" s="43"/>
      <c r="M191" s="43"/>
      <c r="N191" s="43"/>
      <c r="O191" s="43"/>
      <c r="P191" s="43"/>
      <c r="Q191" s="43"/>
      <c r="R191" s="43"/>
      <c r="S191" s="45"/>
      <c r="T191" s="45"/>
      <c r="U191" s="43"/>
    </row>
    <row r="192" spans="1:21" ht="54" customHeight="1" x14ac:dyDescent="0.3">
      <c r="A192" s="44">
        <v>191</v>
      </c>
      <c r="B192" s="45" t="s">
        <v>520</v>
      </c>
      <c r="C192" s="45" t="s">
        <v>521</v>
      </c>
      <c r="D192" s="45" t="s">
        <v>658</v>
      </c>
      <c r="E192" s="45" t="s">
        <v>35</v>
      </c>
      <c r="F192" s="45" t="s">
        <v>659</v>
      </c>
      <c r="G192" s="43" t="s">
        <v>660</v>
      </c>
      <c r="H192" s="43" t="s">
        <v>661</v>
      </c>
      <c r="I192" s="45" t="s">
        <v>27</v>
      </c>
      <c r="J192" s="45"/>
      <c r="K192" s="45"/>
      <c r="L192" s="43"/>
      <c r="M192" s="43"/>
      <c r="N192" s="43"/>
      <c r="O192" s="43"/>
      <c r="P192" s="43"/>
      <c r="Q192" s="43"/>
      <c r="R192" s="43"/>
      <c r="S192" s="45"/>
      <c r="T192" s="45"/>
      <c r="U192" s="43"/>
    </row>
    <row r="193" spans="1:21" ht="54" customHeight="1" x14ac:dyDescent="0.3">
      <c r="A193" s="44">
        <v>192</v>
      </c>
      <c r="B193" s="45" t="s">
        <v>520</v>
      </c>
      <c r="C193" s="45" t="s">
        <v>521</v>
      </c>
      <c r="D193" s="45" t="s">
        <v>662</v>
      </c>
      <c r="E193" s="45" t="s">
        <v>35</v>
      </c>
      <c r="F193" s="45" t="s">
        <v>663</v>
      </c>
      <c r="G193" s="43" t="s">
        <v>664</v>
      </c>
      <c r="H193" s="43" t="s">
        <v>665</v>
      </c>
      <c r="I193" s="45" t="s">
        <v>27</v>
      </c>
      <c r="J193" s="45"/>
      <c r="K193" s="45"/>
      <c r="L193" s="43"/>
      <c r="M193" s="43"/>
      <c r="N193" s="43"/>
      <c r="O193" s="43"/>
      <c r="P193" s="43"/>
      <c r="Q193" s="43"/>
      <c r="R193" s="43"/>
      <c r="S193" s="45"/>
      <c r="T193" s="45"/>
      <c r="U193" s="43"/>
    </row>
    <row r="194" spans="1:21" ht="54" customHeight="1" x14ac:dyDescent="0.3">
      <c r="A194" s="44">
        <v>193</v>
      </c>
      <c r="B194" s="45" t="s">
        <v>520</v>
      </c>
      <c r="C194" s="45" t="s">
        <v>521</v>
      </c>
      <c r="D194" s="45" t="s">
        <v>666</v>
      </c>
      <c r="E194" s="45" t="s">
        <v>35</v>
      </c>
      <c r="F194" s="45" t="s">
        <v>667</v>
      </c>
      <c r="G194" s="43" t="s">
        <v>668</v>
      </c>
      <c r="H194" s="43" t="s">
        <v>669</v>
      </c>
      <c r="I194" s="45" t="s">
        <v>27</v>
      </c>
      <c r="J194" s="45"/>
      <c r="K194" s="45"/>
      <c r="L194" s="43"/>
      <c r="M194" s="43"/>
      <c r="N194" s="43"/>
      <c r="O194" s="43"/>
      <c r="P194" s="43"/>
      <c r="Q194" s="43"/>
      <c r="R194" s="43"/>
      <c r="S194" s="45"/>
      <c r="T194" s="45"/>
      <c r="U194" s="43"/>
    </row>
    <row r="195" spans="1:21" ht="54" customHeight="1" x14ac:dyDescent="0.3">
      <c r="A195" s="44">
        <v>194</v>
      </c>
      <c r="B195" s="45" t="s">
        <v>520</v>
      </c>
      <c r="C195" s="45" t="s">
        <v>521</v>
      </c>
      <c r="D195" s="45" t="s">
        <v>670</v>
      </c>
      <c r="E195" s="45" t="s">
        <v>35</v>
      </c>
      <c r="F195" s="45" t="s">
        <v>671</v>
      </c>
      <c r="G195" s="43" t="s">
        <v>672</v>
      </c>
      <c r="H195" s="43" t="s">
        <v>673</v>
      </c>
      <c r="I195" s="45" t="s">
        <v>27</v>
      </c>
      <c r="J195" s="45"/>
      <c r="K195" s="45"/>
      <c r="L195" s="43"/>
      <c r="M195" s="43"/>
      <c r="N195" s="43"/>
      <c r="O195" s="43"/>
      <c r="P195" s="43"/>
      <c r="Q195" s="43"/>
      <c r="R195" s="43"/>
      <c r="S195" s="45"/>
      <c r="T195" s="45"/>
      <c r="U195" s="43"/>
    </row>
    <row r="196" spans="1:21" ht="54" customHeight="1" x14ac:dyDescent="0.3">
      <c r="A196" s="44">
        <v>195</v>
      </c>
      <c r="B196" s="45" t="s">
        <v>520</v>
      </c>
      <c r="C196" s="45" t="s">
        <v>521</v>
      </c>
      <c r="D196" s="45" t="s">
        <v>674</v>
      </c>
      <c r="E196" s="45" t="s">
        <v>35</v>
      </c>
      <c r="F196" s="45" t="s">
        <v>675</v>
      </c>
      <c r="G196" s="43" t="s">
        <v>676</v>
      </c>
      <c r="H196" s="43" t="s">
        <v>677</v>
      </c>
      <c r="I196" s="45" t="s">
        <v>27</v>
      </c>
      <c r="J196" s="45"/>
      <c r="K196" s="45"/>
      <c r="L196" s="43"/>
      <c r="M196" s="43"/>
      <c r="N196" s="43"/>
      <c r="O196" s="43"/>
      <c r="P196" s="43"/>
      <c r="Q196" s="43"/>
      <c r="R196" s="43"/>
      <c r="S196" s="45"/>
      <c r="T196" s="45"/>
      <c r="U196" s="43"/>
    </row>
    <row r="197" spans="1:21" ht="54" customHeight="1" x14ac:dyDescent="0.3">
      <c r="A197" s="44">
        <v>196</v>
      </c>
      <c r="B197" s="45" t="s">
        <v>520</v>
      </c>
      <c r="C197" s="45" t="s">
        <v>521</v>
      </c>
      <c r="D197" s="45" t="s">
        <v>678</v>
      </c>
      <c r="E197" s="45" t="s">
        <v>35</v>
      </c>
      <c r="F197" s="45" t="s">
        <v>679</v>
      </c>
      <c r="G197" s="43" t="s">
        <v>680</v>
      </c>
      <c r="H197" s="43" t="s">
        <v>681</v>
      </c>
      <c r="I197" s="45" t="s">
        <v>27</v>
      </c>
      <c r="J197" s="45"/>
      <c r="K197" s="45"/>
      <c r="L197" s="43"/>
      <c r="M197" s="43"/>
      <c r="N197" s="43"/>
      <c r="O197" s="43"/>
      <c r="P197" s="43"/>
      <c r="Q197" s="43"/>
      <c r="R197" s="43"/>
      <c r="S197" s="45"/>
      <c r="T197" s="45"/>
      <c r="U197" s="43"/>
    </row>
    <row r="198" spans="1:21" ht="54" customHeight="1" x14ac:dyDescent="0.3">
      <c r="A198" s="44">
        <v>197</v>
      </c>
      <c r="B198" s="45" t="s">
        <v>520</v>
      </c>
      <c r="C198" s="45" t="s">
        <v>521</v>
      </c>
      <c r="D198" s="45" t="s">
        <v>682</v>
      </c>
      <c r="E198" s="45" t="s">
        <v>35</v>
      </c>
      <c r="F198" s="45" t="s">
        <v>683</v>
      </c>
      <c r="G198" s="43" t="s">
        <v>684</v>
      </c>
      <c r="H198" s="43" t="s">
        <v>685</v>
      </c>
      <c r="I198" s="45" t="s">
        <v>27</v>
      </c>
      <c r="J198" s="45"/>
      <c r="K198" s="45"/>
      <c r="L198" s="43"/>
      <c r="M198" s="43"/>
      <c r="N198" s="43"/>
      <c r="O198" s="43"/>
      <c r="P198" s="43"/>
      <c r="Q198" s="43"/>
      <c r="R198" s="43"/>
      <c r="S198" s="45"/>
      <c r="T198" s="45"/>
      <c r="U198" s="43"/>
    </row>
  </sheetData>
  <phoneticPr fontId="1" type="noConversion"/>
  <conditionalFormatting sqref="I2:I198">
    <cfRule type="expression" dxfId="27" priority="1">
      <formula>I2="PASS"</formula>
    </cfRule>
  </conditionalFormatting>
  <conditionalFormatting sqref="I2:I198">
    <cfRule type="expression" dxfId="26" priority="2">
      <formula>I2="FAIL"</formula>
    </cfRule>
  </conditionalFormatting>
  <conditionalFormatting sqref="I2:I198">
    <cfRule type="expression" dxfId="25" priority="3">
      <formula>I2="보류"</formula>
    </cfRule>
  </conditionalFormatting>
  <conditionalFormatting sqref="I2:I198">
    <cfRule type="expression" dxfId="24" priority="4">
      <formula>I2="미실행"</formula>
    </cfRule>
  </conditionalFormatting>
  <conditionalFormatting sqref="T2:T198">
    <cfRule type="expression" dxfId="23" priority="5">
      <formula>T2="PASS"</formula>
    </cfRule>
  </conditionalFormatting>
  <conditionalFormatting sqref="T2:T198">
    <cfRule type="expression" dxfId="22" priority="6">
      <formula>T2="FAIL"</formula>
    </cfRule>
  </conditionalFormatting>
  <conditionalFormatting sqref="T2:T198">
    <cfRule type="expression" dxfId="21" priority="7">
      <formula>T2="보류"</formula>
    </cfRule>
  </conditionalFormatting>
  <conditionalFormatting sqref="T2:T198">
    <cfRule type="expression" dxfId="20" priority="8">
      <formula>T2="미실행"</formula>
    </cfRule>
  </conditionalFormatting>
  <dataValidations count="3">
    <dataValidation type="list" allowBlank="1" showInputMessage="1" showErrorMessage="1" errorTitle="입력값 확인" error="목록에서 값을 선택하세요." sqref="E2:E198" xr:uid="{2810E1EF-2A5E-4B94-8632-C1E28CC5BBEF}">
      <formula1>"P0,P1,P2,P3"</formula1>
    </dataValidation>
    <dataValidation type="list" allowBlank="1" showInputMessage="1" showErrorMessage="1" errorTitle="입력값 확인" error="목록에서 값을 선택하세요." sqref="I2:I198" xr:uid="{BB62344A-4214-4795-9DC5-A70E1FB5B8B4}">
      <formula1>"PASS,FAIL,보류,미실행"</formula1>
    </dataValidation>
    <dataValidation type="list" allowBlank="1" showInputMessage="1" showErrorMessage="1" errorTitle="입력값 확인" error="목록에서 값을 선택하세요." sqref="T2:T198" xr:uid="{01B235BF-BB3D-4DA4-93F1-F77FCA0A07E9}">
      <formula1>"PASS,FAIL,보류,미실행"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8115-9D58-4638-BF5B-7E7F2105D34E}">
  <sheetPr>
    <tabColor rgb="FF7C3AED"/>
  </sheetPr>
  <dimension ref="A1:J33"/>
  <sheetViews>
    <sheetView showGridLines="0" workbookViewId="0">
      <pane ySplit="1" topLeftCell="A2" activePane="bottomLeft" state="frozen"/>
      <selection pane="bottomLeft" activeCell="D6" sqref="D6"/>
    </sheetView>
  </sheetViews>
  <sheetFormatPr defaultRowHeight="16.5" x14ac:dyDescent="0.3"/>
  <cols>
    <col min="1" max="1" width="6.375" style="1" customWidth="1"/>
    <col min="2" max="2" width="16.625" style="1" customWidth="1"/>
    <col min="3" max="3" width="15" style="1" customWidth="1"/>
    <col min="4" max="4" width="30" style="1" customWidth="1"/>
    <col min="5" max="5" width="31.625" style="1" customWidth="1"/>
    <col min="6" max="6" width="50" style="1" customWidth="1"/>
    <col min="7" max="7" width="47.5" style="1" customWidth="1"/>
    <col min="8" max="8" width="11.625" style="1" customWidth="1"/>
    <col min="9" max="9" width="14.125" style="1" customWidth="1"/>
    <col min="10" max="10" width="28.375" style="1" customWidth="1"/>
  </cols>
  <sheetData>
    <row r="1" spans="1:10" ht="27.95" customHeight="1" x14ac:dyDescent="0.3">
      <c r="A1" s="43" t="s">
        <v>0</v>
      </c>
      <c r="B1" s="43" t="s">
        <v>3</v>
      </c>
      <c r="C1" s="43" t="s">
        <v>706</v>
      </c>
      <c r="D1" s="43" t="s">
        <v>5</v>
      </c>
      <c r="E1" s="43" t="s">
        <v>707</v>
      </c>
      <c r="F1" s="43" t="s">
        <v>6</v>
      </c>
      <c r="G1" s="43" t="s">
        <v>7</v>
      </c>
      <c r="H1" s="43" t="s">
        <v>8</v>
      </c>
      <c r="I1" s="43" t="s">
        <v>15</v>
      </c>
      <c r="J1" s="43" t="s">
        <v>20</v>
      </c>
    </row>
    <row r="2" spans="1:10" ht="50.1" customHeight="1" x14ac:dyDescent="0.3">
      <c r="A2" s="45">
        <v>1</v>
      </c>
      <c r="B2" s="45" t="s">
        <v>337</v>
      </c>
      <c r="C2" s="45" t="s">
        <v>708</v>
      </c>
      <c r="D2" s="43" t="s">
        <v>336</v>
      </c>
      <c r="E2" s="43" t="s">
        <v>709</v>
      </c>
      <c r="F2" s="43" t="s">
        <v>338</v>
      </c>
      <c r="G2" s="43" t="s">
        <v>339</v>
      </c>
      <c r="H2" s="45" t="str">
        <f>IFERROR(INDEX('01_전체 케이스'!$I$2:$I$198,MATCH(B2,'01_전체 케이스'!$D$2:$D$198,0)),"미실행")</f>
        <v>미실행</v>
      </c>
      <c r="I2" s="45" t="str">
        <f>IFERROR(IF(INDEX('01_전체 케이스'!$P$2:$P$198,MATCH(B2,'01_전체 케이스'!$D$2:$D$198,0))="","",INDEX('01_전체 케이스'!$P$2:$P$198,MATCH(B2,'01_전체 케이스'!$D$2:$D$198,0))),"")</f>
        <v/>
      </c>
      <c r="J2" s="43" t="str">
        <f>IFERROR(IF(INDEX('01_전체 케이스'!$U$2:$U$198,MATCH(B2,'01_전체 케이스'!$D$2:$D$198,0))="","",INDEX('01_전체 케이스'!$U$2:$U$198,MATCH(B2,'01_전체 케이스'!$D$2:$D$198,0))),"")</f>
        <v/>
      </c>
    </row>
    <row r="3" spans="1:10" ht="50.1" customHeight="1" x14ac:dyDescent="0.3">
      <c r="A3" s="45">
        <v>2</v>
      </c>
      <c r="B3" s="45" t="s">
        <v>340</v>
      </c>
      <c r="C3" s="45" t="s">
        <v>708</v>
      </c>
      <c r="D3" s="43" t="s">
        <v>336</v>
      </c>
      <c r="E3" s="43" t="s">
        <v>709</v>
      </c>
      <c r="F3" s="43" t="s">
        <v>341</v>
      </c>
      <c r="G3" s="43" t="s">
        <v>342</v>
      </c>
      <c r="H3" s="45" t="str">
        <f>IFERROR(INDEX('01_전체 케이스'!$I$2:$I$198,MATCH(B3,'01_전체 케이스'!$D$2:$D$198,0)),"미실행")</f>
        <v>미실행</v>
      </c>
      <c r="I3" s="45" t="str">
        <f>IFERROR(IF(INDEX('01_전체 케이스'!$P$2:$P$198,MATCH(B3,'01_전체 케이스'!$D$2:$D$198,0))="","",INDEX('01_전체 케이스'!$P$2:$P$198,MATCH(B3,'01_전체 케이스'!$D$2:$D$198,0))),"")</f>
        <v/>
      </c>
      <c r="J3" s="43" t="str">
        <f>IFERROR(IF(INDEX('01_전체 케이스'!$U$2:$U$198,MATCH(B3,'01_전체 케이스'!$D$2:$D$198,0))="","",INDEX('01_전체 케이스'!$U$2:$U$198,MATCH(B3,'01_전체 케이스'!$D$2:$D$198,0))),"")</f>
        <v/>
      </c>
    </row>
    <row r="4" spans="1:10" ht="50.1" customHeight="1" x14ac:dyDescent="0.3">
      <c r="A4" s="45">
        <v>3</v>
      </c>
      <c r="B4" s="45" t="s">
        <v>343</v>
      </c>
      <c r="C4" s="45" t="s">
        <v>708</v>
      </c>
      <c r="D4" s="43" t="s">
        <v>336</v>
      </c>
      <c r="E4" s="43" t="s">
        <v>709</v>
      </c>
      <c r="F4" s="43" t="s">
        <v>344</v>
      </c>
      <c r="G4" s="43" t="s">
        <v>345</v>
      </c>
      <c r="H4" s="45" t="str">
        <f>IFERROR(INDEX('01_전체 케이스'!$I$2:$I$198,MATCH(B4,'01_전체 케이스'!$D$2:$D$198,0)),"미실행")</f>
        <v>미실행</v>
      </c>
      <c r="I4" s="45" t="str">
        <f>IFERROR(IF(INDEX('01_전체 케이스'!$P$2:$P$198,MATCH(B4,'01_전체 케이스'!$D$2:$D$198,0))="","",INDEX('01_전체 케이스'!$P$2:$P$198,MATCH(B4,'01_전체 케이스'!$D$2:$D$198,0))),"")</f>
        <v/>
      </c>
      <c r="J4" s="43" t="str">
        <f>IFERROR(IF(INDEX('01_전체 케이스'!$U$2:$U$198,MATCH(B4,'01_전체 케이스'!$D$2:$D$198,0))="","",INDEX('01_전체 케이스'!$U$2:$U$198,MATCH(B4,'01_전체 케이스'!$D$2:$D$198,0))),"")</f>
        <v/>
      </c>
    </row>
    <row r="5" spans="1:10" ht="50.1" customHeight="1" x14ac:dyDescent="0.3">
      <c r="A5" s="45">
        <v>4</v>
      </c>
      <c r="B5" s="45" t="s">
        <v>346</v>
      </c>
      <c r="C5" s="45" t="s">
        <v>708</v>
      </c>
      <c r="D5" s="43" t="s">
        <v>336</v>
      </c>
      <c r="E5" s="43" t="s">
        <v>709</v>
      </c>
      <c r="F5" s="43" t="s">
        <v>347</v>
      </c>
      <c r="G5" s="43" t="s">
        <v>348</v>
      </c>
      <c r="H5" s="45" t="str">
        <f>IFERROR(INDEX('01_전체 케이스'!$I$2:$I$198,MATCH(B5,'01_전체 케이스'!$D$2:$D$198,0)),"미실행")</f>
        <v>미실행</v>
      </c>
      <c r="I5" s="45" t="str">
        <f>IFERROR(IF(INDEX('01_전체 케이스'!$P$2:$P$198,MATCH(B5,'01_전체 케이스'!$D$2:$D$198,0))="","",INDEX('01_전체 케이스'!$P$2:$P$198,MATCH(B5,'01_전체 케이스'!$D$2:$D$198,0))),"")</f>
        <v/>
      </c>
      <c r="J5" s="43" t="str">
        <f>IFERROR(IF(INDEX('01_전체 케이스'!$U$2:$U$198,MATCH(B5,'01_전체 케이스'!$D$2:$D$198,0))="","",INDEX('01_전체 케이스'!$U$2:$U$198,MATCH(B5,'01_전체 케이스'!$D$2:$D$198,0))),"")</f>
        <v/>
      </c>
    </row>
    <row r="6" spans="1:10" ht="50.1" customHeight="1" x14ac:dyDescent="0.3">
      <c r="A6" s="45">
        <v>5</v>
      </c>
      <c r="B6" s="45" t="s">
        <v>349</v>
      </c>
      <c r="C6" s="45" t="s">
        <v>708</v>
      </c>
      <c r="D6" s="43" t="s">
        <v>336</v>
      </c>
      <c r="E6" s="43" t="s">
        <v>709</v>
      </c>
      <c r="F6" s="43" t="s">
        <v>350</v>
      </c>
      <c r="G6" s="43" t="s">
        <v>351</v>
      </c>
      <c r="H6" s="45" t="str">
        <f>IFERROR(INDEX('01_전체 케이스'!$I$2:$I$198,MATCH(B6,'01_전체 케이스'!$D$2:$D$198,0)),"미실행")</f>
        <v>미실행</v>
      </c>
      <c r="I6" s="45" t="str">
        <f>IFERROR(IF(INDEX('01_전체 케이스'!$P$2:$P$198,MATCH(B6,'01_전체 케이스'!$D$2:$D$198,0))="","",INDEX('01_전체 케이스'!$P$2:$P$198,MATCH(B6,'01_전체 케이스'!$D$2:$D$198,0))),"")</f>
        <v/>
      </c>
      <c r="J6" s="43" t="str">
        <f>IFERROR(IF(INDEX('01_전체 케이스'!$U$2:$U$198,MATCH(B6,'01_전체 케이스'!$D$2:$D$198,0))="","",INDEX('01_전체 케이스'!$U$2:$U$198,MATCH(B6,'01_전체 케이스'!$D$2:$D$198,0))),"")</f>
        <v/>
      </c>
    </row>
    <row r="7" spans="1:10" ht="50.1" customHeight="1" x14ac:dyDescent="0.3">
      <c r="A7" s="45">
        <v>6</v>
      </c>
      <c r="B7" s="45" t="s">
        <v>352</v>
      </c>
      <c r="C7" s="45" t="s">
        <v>708</v>
      </c>
      <c r="D7" s="43" t="s">
        <v>336</v>
      </c>
      <c r="E7" s="43" t="s">
        <v>709</v>
      </c>
      <c r="F7" s="43" t="s">
        <v>353</v>
      </c>
      <c r="G7" s="43" t="s">
        <v>354</v>
      </c>
      <c r="H7" s="45" t="str">
        <f>IFERROR(INDEX('01_전체 케이스'!$I$2:$I$198,MATCH(B7,'01_전체 케이스'!$D$2:$D$198,0)),"미실행")</f>
        <v>미실행</v>
      </c>
      <c r="I7" s="45" t="str">
        <f>IFERROR(IF(INDEX('01_전체 케이스'!$P$2:$P$198,MATCH(B7,'01_전체 케이스'!$D$2:$D$198,0))="","",INDEX('01_전체 케이스'!$P$2:$P$198,MATCH(B7,'01_전체 케이스'!$D$2:$D$198,0))),"")</f>
        <v/>
      </c>
      <c r="J7" s="43" t="str">
        <f>IFERROR(IF(INDEX('01_전체 케이스'!$U$2:$U$198,MATCH(B7,'01_전체 케이스'!$D$2:$D$198,0))="","",INDEX('01_전체 케이스'!$U$2:$U$198,MATCH(B7,'01_전체 케이스'!$D$2:$D$198,0))),"")</f>
        <v/>
      </c>
    </row>
    <row r="8" spans="1:10" ht="50.1" customHeight="1" x14ac:dyDescent="0.3">
      <c r="A8" s="45">
        <v>7</v>
      </c>
      <c r="B8" s="45" t="s">
        <v>355</v>
      </c>
      <c r="C8" s="45" t="s">
        <v>708</v>
      </c>
      <c r="D8" s="43" t="s">
        <v>336</v>
      </c>
      <c r="E8" s="43" t="s">
        <v>709</v>
      </c>
      <c r="F8" s="43" t="s">
        <v>356</v>
      </c>
      <c r="G8" s="43" t="s">
        <v>357</v>
      </c>
      <c r="H8" s="45" t="str">
        <f>IFERROR(INDEX('01_전체 케이스'!$I$2:$I$198,MATCH(B8,'01_전체 케이스'!$D$2:$D$198,0)),"미실행")</f>
        <v>미실행</v>
      </c>
      <c r="I8" s="45" t="str">
        <f>IFERROR(IF(INDEX('01_전체 케이스'!$P$2:$P$198,MATCH(B8,'01_전체 케이스'!$D$2:$D$198,0))="","",INDEX('01_전체 케이스'!$P$2:$P$198,MATCH(B8,'01_전체 케이스'!$D$2:$D$198,0))),"")</f>
        <v/>
      </c>
      <c r="J8" s="43" t="str">
        <f>IFERROR(IF(INDEX('01_전체 케이스'!$U$2:$U$198,MATCH(B8,'01_전체 케이스'!$D$2:$D$198,0))="","",INDEX('01_전체 케이스'!$U$2:$U$198,MATCH(B8,'01_전체 케이스'!$D$2:$D$198,0))),"")</f>
        <v/>
      </c>
    </row>
    <row r="9" spans="1:10" ht="50.1" customHeight="1" x14ac:dyDescent="0.3">
      <c r="A9" s="45">
        <v>8</v>
      </c>
      <c r="B9" s="45" t="s">
        <v>358</v>
      </c>
      <c r="C9" s="45" t="s">
        <v>708</v>
      </c>
      <c r="D9" s="43" t="s">
        <v>336</v>
      </c>
      <c r="E9" s="43" t="s">
        <v>709</v>
      </c>
      <c r="F9" s="43" t="s">
        <v>359</v>
      </c>
      <c r="G9" s="43" t="s">
        <v>360</v>
      </c>
      <c r="H9" s="45" t="str">
        <f>IFERROR(INDEX('01_전체 케이스'!$I$2:$I$198,MATCH(B9,'01_전체 케이스'!$D$2:$D$198,0)),"미실행")</f>
        <v>미실행</v>
      </c>
      <c r="I9" s="45" t="str">
        <f>IFERROR(IF(INDEX('01_전체 케이스'!$P$2:$P$198,MATCH(B9,'01_전체 케이스'!$D$2:$D$198,0))="","",INDEX('01_전체 케이스'!$P$2:$P$198,MATCH(B9,'01_전체 케이스'!$D$2:$D$198,0))),"")</f>
        <v/>
      </c>
      <c r="J9" s="43" t="str">
        <f>IFERROR(IF(INDEX('01_전체 케이스'!$U$2:$U$198,MATCH(B9,'01_전체 케이스'!$D$2:$D$198,0))="","",INDEX('01_전체 케이스'!$U$2:$U$198,MATCH(B9,'01_전체 케이스'!$D$2:$D$198,0))),"")</f>
        <v/>
      </c>
    </row>
    <row r="10" spans="1:10" ht="50.1" customHeight="1" x14ac:dyDescent="0.3">
      <c r="A10" s="45">
        <v>9</v>
      </c>
      <c r="B10" s="45" t="s">
        <v>361</v>
      </c>
      <c r="C10" s="45" t="s">
        <v>708</v>
      </c>
      <c r="D10" s="43" t="s">
        <v>336</v>
      </c>
      <c r="E10" s="43" t="s">
        <v>709</v>
      </c>
      <c r="F10" s="43" t="s">
        <v>362</v>
      </c>
      <c r="G10" s="43" t="s">
        <v>363</v>
      </c>
      <c r="H10" s="45" t="str">
        <f>IFERROR(INDEX('01_전체 케이스'!$I$2:$I$198,MATCH(B10,'01_전체 케이스'!$D$2:$D$198,0)),"미실행")</f>
        <v>미실행</v>
      </c>
      <c r="I10" s="45" t="str">
        <f>IFERROR(IF(INDEX('01_전체 케이스'!$P$2:$P$198,MATCH(B10,'01_전체 케이스'!$D$2:$D$198,0))="","",INDEX('01_전체 케이스'!$P$2:$P$198,MATCH(B10,'01_전체 케이스'!$D$2:$D$198,0))),"")</f>
        <v/>
      </c>
      <c r="J10" s="43" t="str">
        <f>IFERROR(IF(INDEX('01_전체 케이스'!$U$2:$U$198,MATCH(B10,'01_전체 케이스'!$D$2:$D$198,0))="","",INDEX('01_전체 케이스'!$U$2:$U$198,MATCH(B10,'01_전체 케이스'!$D$2:$D$198,0))),"")</f>
        <v/>
      </c>
    </row>
    <row r="11" spans="1:10" ht="50.1" customHeight="1" x14ac:dyDescent="0.3">
      <c r="A11" s="45">
        <v>10</v>
      </c>
      <c r="B11" s="45" t="s">
        <v>364</v>
      </c>
      <c r="C11" s="45" t="s">
        <v>708</v>
      </c>
      <c r="D11" s="43" t="s">
        <v>336</v>
      </c>
      <c r="E11" s="43" t="s">
        <v>709</v>
      </c>
      <c r="F11" s="43" t="s">
        <v>365</v>
      </c>
      <c r="G11" s="43" t="s">
        <v>366</v>
      </c>
      <c r="H11" s="45" t="str">
        <f>IFERROR(INDEX('01_전체 케이스'!$I$2:$I$198,MATCH(B11,'01_전체 케이스'!$D$2:$D$198,0)),"미실행")</f>
        <v>미실행</v>
      </c>
      <c r="I11" s="45" t="str">
        <f>IFERROR(IF(INDEX('01_전체 케이스'!$P$2:$P$198,MATCH(B11,'01_전체 케이스'!$D$2:$D$198,0))="","",INDEX('01_전체 케이스'!$P$2:$P$198,MATCH(B11,'01_전체 케이스'!$D$2:$D$198,0))),"")</f>
        <v/>
      </c>
      <c r="J11" s="43" t="str">
        <f>IFERROR(IF(INDEX('01_전체 케이스'!$U$2:$U$198,MATCH(B11,'01_전체 케이스'!$D$2:$D$198,0))="","",INDEX('01_전체 케이스'!$U$2:$U$198,MATCH(B11,'01_전체 케이스'!$D$2:$D$198,0))),"")</f>
        <v/>
      </c>
    </row>
    <row r="12" spans="1:10" ht="50.1" customHeight="1" x14ac:dyDescent="0.3">
      <c r="A12" s="45">
        <v>11</v>
      </c>
      <c r="B12" s="45" t="s">
        <v>367</v>
      </c>
      <c r="C12" s="45" t="s">
        <v>708</v>
      </c>
      <c r="D12" s="43" t="s">
        <v>336</v>
      </c>
      <c r="E12" s="43" t="s">
        <v>709</v>
      </c>
      <c r="F12" s="43" t="s">
        <v>368</v>
      </c>
      <c r="G12" s="43" t="s">
        <v>369</v>
      </c>
      <c r="H12" s="45" t="str">
        <f>IFERROR(INDEX('01_전체 케이스'!$I$2:$I$198,MATCH(B12,'01_전체 케이스'!$D$2:$D$198,0)),"미실행")</f>
        <v>미실행</v>
      </c>
      <c r="I12" s="45" t="str">
        <f>IFERROR(IF(INDEX('01_전체 케이스'!$P$2:$P$198,MATCH(B12,'01_전체 케이스'!$D$2:$D$198,0))="","",INDEX('01_전체 케이스'!$P$2:$P$198,MATCH(B12,'01_전체 케이스'!$D$2:$D$198,0))),"")</f>
        <v/>
      </c>
      <c r="J12" s="43" t="str">
        <f>IFERROR(IF(INDEX('01_전체 케이스'!$U$2:$U$198,MATCH(B12,'01_전체 케이스'!$D$2:$D$198,0))="","",INDEX('01_전체 케이스'!$U$2:$U$198,MATCH(B12,'01_전체 케이스'!$D$2:$D$198,0))),"")</f>
        <v/>
      </c>
    </row>
    <row r="13" spans="1:10" ht="50.1" customHeight="1" x14ac:dyDescent="0.3">
      <c r="A13" s="45">
        <v>12</v>
      </c>
      <c r="B13" s="45" t="s">
        <v>370</v>
      </c>
      <c r="C13" s="45" t="s">
        <v>708</v>
      </c>
      <c r="D13" s="43" t="s">
        <v>336</v>
      </c>
      <c r="E13" s="43" t="s">
        <v>709</v>
      </c>
      <c r="F13" s="43" t="s">
        <v>371</v>
      </c>
      <c r="G13" s="43" t="s">
        <v>372</v>
      </c>
      <c r="H13" s="45" t="str">
        <f>IFERROR(INDEX('01_전체 케이스'!$I$2:$I$198,MATCH(B13,'01_전체 케이스'!$D$2:$D$198,0)),"미실행")</f>
        <v>미실행</v>
      </c>
      <c r="I13" s="45" t="str">
        <f>IFERROR(IF(INDEX('01_전체 케이스'!$P$2:$P$198,MATCH(B13,'01_전체 케이스'!$D$2:$D$198,0))="","",INDEX('01_전체 케이스'!$P$2:$P$198,MATCH(B13,'01_전체 케이스'!$D$2:$D$198,0))),"")</f>
        <v/>
      </c>
      <c r="J13" s="43" t="str">
        <f>IFERROR(IF(INDEX('01_전체 케이스'!$U$2:$U$198,MATCH(B13,'01_전체 케이스'!$D$2:$D$198,0))="","",INDEX('01_전체 케이스'!$U$2:$U$198,MATCH(B13,'01_전체 케이스'!$D$2:$D$198,0))),"")</f>
        <v/>
      </c>
    </row>
    <row r="14" spans="1:10" ht="50.1" customHeight="1" x14ac:dyDescent="0.3">
      <c r="A14" s="45">
        <v>13</v>
      </c>
      <c r="B14" s="45" t="s">
        <v>373</v>
      </c>
      <c r="C14" s="45" t="s">
        <v>708</v>
      </c>
      <c r="D14" s="43" t="s">
        <v>336</v>
      </c>
      <c r="E14" s="43" t="s">
        <v>709</v>
      </c>
      <c r="F14" s="43" t="s">
        <v>374</v>
      </c>
      <c r="G14" s="43" t="s">
        <v>375</v>
      </c>
      <c r="H14" s="45" t="str">
        <f>IFERROR(INDEX('01_전체 케이스'!$I$2:$I$198,MATCH(B14,'01_전체 케이스'!$D$2:$D$198,0)),"미실행")</f>
        <v>미실행</v>
      </c>
      <c r="I14" s="45" t="str">
        <f>IFERROR(IF(INDEX('01_전체 케이스'!$P$2:$P$198,MATCH(B14,'01_전체 케이스'!$D$2:$D$198,0))="","",INDEX('01_전체 케이스'!$P$2:$P$198,MATCH(B14,'01_전체 케이스'!$D$2:$D$198,0))),"")</f>
        <v/>
      </c>
      <c r="J14" s="43" t="str">
        <f>IFERROR(IF(INDEX('01_전체 케이스'!$U$2:$U$198,MATCH(B14,'01_전체 케이스'!$D$2:$D$198,0))="","",INDEX('01_전체 케이스'!$U$2:$U$198,MATCH(B14,'01_전체 케이스'!$D$2:$D$198,0))),"")</f>
        <v/>
      </c>
    </row>
    <row r="15" spans="1:10" ht="50.1" customHeight="1" x14ac:dyDescent="0.3">
      <c r="A15" s="45">
        <v>14</v>
      </c>
      <c r="B15" s="45" t="s">
        <v>376</v>
      </c>
      <c r="C15" s="45" t="s">
        <v>708</v>
      </c>
      <c r="D15" s="43" t="s">
        <v>336</v>
      </c>
      <c r="E15" s="43" t="s">
        <v>709</v>
      </c>
      <c r="F15" s="43" t="s">
        <v>377</v>
      </c>
      <c r="G15" s="43" t="s">
        <v>378</v>
      </c>
      <c r="H15" s="45" t="str">
        <f>IFERROR(INDEX('01_전체 케이스'!$I$2:$I$198,MATCH(B15,'01_전체 케이스'!$D$2:$D$198,0)),"미실행")</f>
        <v>미실행</v>
      </c>
      <c r="I15" s="45" t="str">
        <f>IFERROR(IF(INDEX('01_전체 케이스'!$P$2:$P$198,MATCH(B15,'01_전체 케이스'!$D$2:$D$198,0))="","",INDEX('01_전체 케이스'!$P$2:$P$198,MATCH(B15,'01_전체 케이스'!$D$2:$D$198,0))),"")</f>
        <v/>
      </c>
      <c r="J15" s="43" t="str">
        <f>IFERROR(IF(INDEX('01_전체 케이스'!$U$2:$U$198,MATCH(B15,'01_전체 케이스'!$D$2:$D$198,0))="","",INDEX('01_전체 케이스'!$U$2:$U$198,MATCH(B15,'01_전체 케이스'!$D$2:$D$198,0))),"")</f>
        <v/>
      </c>
    </row>
    <row r="16" spans="1:10" ht="50.1" customHeight="1" x14ac:dyDescent="0.3">
      <c r="A16" s="45">
        <v>15</v>
      </c>
      <c r="B16" s="45" t="s">
        <v>379</v>
      </c>
      <c r="C16" s="45" t="s">
        <v>708</v>
      </c>
      <c r="D16" s="43" t="s">
        <v>336</v>
      </c>
      <c r="E16" s="43" t="s">
        <v>709</v>
      </c>
      <c r="F16" s="43" t="s">
        <v>380</v>
      </c>
      <c r="G16" s="43" t="s">
        <v>381</v>
      </c>
      <c r="H16" s="45" t="str">
        <f>IFERROR(INDEX('01_전체 케이스'!$I$2:$I$198,MATCH(B16,'01_전체 케이스'!$D$2:$D$198,0)),"미실행")</f>
        <v>미실행</v>
      </c>
      <c r="I16" s="45" t="str">
        <f>IFERROR(IF(INDEX('01_전체 케이스'!$P$2:$P$198,MATCH(B16,'01_전체 케이스'!$D$2:$D$198,0))="","",INDEX('01_전체 케이스'!$P$2:$P$198,MATCH(B16,'01_전체 케이스'!$D$2:$D$198,0))),"")</f>
        <v/>
      </c>
      <c r="J16" s="43" t="str">
        <f>IFERROR(IF(INDEX('01_전체 케이스'!$U$2:$U$198,MATCH(B16,'01_전체 케이스'!$D$2:$D$198,0))="","",INDEX('01_전체 케이스'!$U$2:$U$198,MATCH(B16,'01_전체 케이스'!$D$2:$D$198,0))),"")</f>
        <v/>
      </c>
    </row>
    <row r="17" spans="1:10" ht="50.1" customHeight="1" x14ac:dyDescent="0.3">
      <c r="A17" s="45">
        <v>16</v>
      </c>
      <c r="B17" s="45" t="s">
        <v>382</v>
      </c>
      <c r="C17" s="45" t="s">
        <v>708</v>
      </c>
      <c r="D17" s="43" t="s">
        <v>336</v>
      </c>
      <c r="E17" s="43" t="s">
        <v>709</v>
      </c>
      <c r="F17" s="43" t="s">
        <v>383</v>
      </c>
      <c r="G17" s="43" t="s">
        <v>384</v>
      </c>
      <c r="H17" s="45" t="str">
        <f>IFERROR(INDEX('01_전체 케이스'!$I$2:$I$198,MATCH(B17,'01_전체 케이스'!$D$2:$D$198,0)),"미실행")</f>
        <v>미실행</v>
      </c>
      <c r="I17" s="45" t="str">
        <f>IFERROR(IF(INDEX('01_전체 케이스'!$P$2:$P$198,MATCH(B17,'01_전체 케이스'!$D$2:$D$198,0))="","",INDEX('01_전체 케이스'!$P$2:$P$198,MATCH(B17,'01_전체 케이스'!$D$2:$D$198,0))),"")</f>
        <v/>
      </c>
      <c r="J17" s="43" t="str">
        <f>IFERROR(IF(INDEX('01_전체 케이스'!$U$2:$U$198,MATCH(B17,'01_전체 케이스'!$D$2:$D$198,0))="","",INDEX('01_전체 케이스'!$U$2:$U$198,MATCH(B17,'01_전체 케이스'!$D$2:$D$198,0))),"")</f>
        <v/>
      </c>
    </row>
    <row r="18" spans="1:10" ht="50.1" customHeight="1" x14ac:dyDescent="0.3">
      <c r="A18" s="45">
        <v>17</v>
      </c>
      <c r="B18" s="45" t="s">
        <v>385</v>
      </c>
      <c r="C18" s="45" t="s">
        <v>708</v>
      </c>
      <c r="D18" s="43" t="s">
        <v>336</v>
      </c>
      <c r="E18" s="43" t="s">
        <v>709</v>
      </c>
      <c r="F18" s="43" t="s">
        <v>386</v>
      </c>
      <c r="G18" s="43" t="s">
        <v>387</v>
      </c>
      <c r="H18" s="45" t="str">
        <f>IFERROR(INDEX('01_전체 케이스'!$I$2:$I$198,MATCH(B18,'01_전체 케이스'!$D$2:$D$198,0)),"미실행")</f>
        <v>미실행</v>
      </c>
      <c r="I18" s="45" t="str">
        <f>IFERROR(IF(INDEX('01_전체 케이스'!$P$2:$P$198,MATCH(B18,'01_전체 케이스'!$D$2:$D$198,0))="","",INDEX('01_전체 케이스'!$P$2:$P$198,MATCH(B18,'01_전체 케이스'!$D$2:$D$198,0))),"")</f>
        <v/>
      </c>
      <c r="J18" s="43" t="str">
        <f>IFERROR(IF(INDEX('01_전체 케이스'!$U$2:$U$198,MATCH(B18,'01_전체 케이스'!$D$2:$D$198,0))="","",INDEX('01_전체 케이스'!$U$2:$U$198,MATCH(B18,'01_전체 케이스'!$D$2:$D$198,0))),"")</f>
        <v/>
      </c>
    </row>
    <row r="19" spans="1:10" ht="50.1" customHeight="1" x14ac:dyDescent="0.3">
      <c r="A19" s="45">
        <v>18</v>
      </c>
      <c r="B19" s="45" t="s">
        <v>388</v>
      </c>
      <c r="C19" s="45" t="s">
        <v>708</v>
      </c>
      <c r="D19" s="43" t="s">
        <v>336</v>
      </c>
      <c r="E19" s="43" t="s">
        <v>709</v>
      </c>
      <c r="F19" s="43" t="s">
        <v>389</v>
      </c>
      <c r="G19" s="43" t="s">
        <v>390</v>
      </c>
      <c r="H19" s="45" t="str">
        <f>IFERROR(INDEX('01_전체 케이스'!$I$2:$I$198,MATCH(B19,'01_전체 케이스'!$D$2:$D$198,0)),"미실행")</f>
        <v>미실행</v>
      </c>
      <c r="I19" s="45" t="str">
        <f>IFERROR(IF(INDEX('01_전체 케이스'!$P$2:$P$198,MATCH(B19,'01_전체 케이스'!$D$2:$D$198,0))="","",INDEX('01_전체 케이스'!$P$2:$P$198,MATCH(B19,'01_전체 케이스'!$D$2:$D$198,0))),"")</f>
        <v/>
      </c>
      <c r="J19" s="43" t="str">
        <f>IFERROR(IF(INDEX('01_전체 케이스'!$U$2:$U$198,MATCH(B19,'01_전체 케이스'!$D$2:$D$198,0))="","",INDEX('01_전체 케이스'!$U$2:$U$198,MATCH(B19,'01_전체 케이스'!$D$2:$D$198,0))),"")</f>
        <v/>
      </c>
    </row>
    <row r="20" spans="1:10" ht="50.1" customHeight="1" x14ac:dyDescent="0.3">
      <c r="A20" s="45">
        <v>19</v>
      </c>
      <c r="B20" s="45" t="s">
        <v>391</v>
      </c>
      <c r="C20" s="45" t="s">
        <v>708</v>
      </c>
      <c r="D20" s="43" t="s">
        <v>336</v>
      </c>
      <c r="E20" s="43" t="s">
        <v>709</v>
      </c>
      <c r="F20" s="43" t="s">
        <v>392</v>
      </c>
      <c r="G20" s="43" t="s">
        <v>393</v>
      </c>
      <c r="H20" s="45" t="str">
        <f>IFERROR(INDEX('01_전체 케이스'!$I$2:$I$198,MATCH(B20,'01_전체 케이스'!$D$2:$D$198,0)),"미실행")</f>
        <v>미실행</v>
      </c>
      <c r="I20" s="45" t="str">
        <f>IFERROR(IF(INDEX('01_전체 케이스'!$P$2:$P$198,MATCH(B20,'01_전체 케이스'!$D$2:$D$198,0))="","",INDEX('01_전체 케이스'!$P$2:$P$198,MATCH(B20,'01_전체 케이스'!$D$2:$D$198,0))),"")</f>
        <v/>
      </c>
      <c r="J20" s="43" t="str">
        <f>IFERROR(IF(INDEX('01_전체 케이스'!$U$2:$U$198,MATCH(B20,'01_전체 케이스'!$D$2:$D$198,0))="","",INDEX('01_전체 케이스'!$U$2:$U$198,MATCH(B20,'01_전체 케이스'!$D$2:$D$198,0))),"")</f>
        <v/>
      </c>
    </row>
    <row r="21" spans="1:10" ht="50.1" customHeight="1" x14ac:dyDescent="0.3">
      <c r="A21" s="45">
        <v>20</v>
      </c>
      <c r="B21" s="45" t="s">
        <v>394</v>
      </c>
      <c r="C21" s="45" t="s">
        <v>708</v>
      </c>
      <c r="D21" s="43" t="s">
        <v>336</v>
      </c>
      <c r="E21" s="43" t="s">
        <v>709</v>
      </c>
      <c r="F21" s="43" t="s">
        <v>395</v>
      </c>
      <c r="G21" s="43" t="s">
        <v>396</v>
      </c>
      <c r="H21" s="45" t="str">
        <f>IFERROR(INDEX('01_전체 케이스'!$I$2:$I$198,MATCH(B21,'01_전체 케이스'!$D$2:$D$198,0)),"미실행")</f>
        <v>미실행</v>
      </c>
      <c r="I21" s="45" t="str">
        <f>IFERROR(IF(INDEX('01_전체 케이스'!$P$2:$P$198,MATCH(B21,'01_전체 케이스'!$D$2:$D$198,0))="","",INDEX('01_전체 케이스'!$P$2:$P$198,MATCH(B21,'01_전체 케이스'!$D$2:$D$198,0))),"")</f>
        <v/>
      </c>
      <c r="J21" s="43" t="str">
        <f>IFERROR(IF(INDEX('01_전체 케이스'!$U$2:$U$198,MATCH(B21,'01_전체 케이스'!$D$2:$D$198,0))="","",INDEX('01_전체 케이스'!$U$2:$U$198,MATCH(B21,'01_전체 케이스'!$D$2:$D$198,0))),"")</f>
        <v/>
      </c>
    </row>
    <row r="22" spans="1:10" ht="50.1" customHeight="1" x14ac:dyDescent="0.3">
      <c r="A22" s="45">
        <v>21</v>
      </c>
      <c r="B22" s="45" t="s">
        <v>397</v>
      </c>
      <c r="C22" s="45" t="s">
        <v>708</v>
      </c>
      <c r="D22" s="43" t="s">
        <v>336</v>
      </c>
      <c r="E22" s="43" t="s">
        <v>709</v>
      </c>
      <c r="F22" s="43" t="s">
        <v>398</v>
      </c>
      <c r="G22" s="43" t="s">
        <v>399</v>
      </c>
      <c r="H22" s="45" t="str">
        <f>IFERROR(INDEX('01_전체 케이스'!$I$2:$I$198,MATCH(B22,'01_전체 케이스'!$D$2:$D$198,0)),"미실행")</f>
        <v>미실행</v>
      </c>
      <c r="I22" s="45" t="str">
        <f>IFERROR(IF(INDEX('01_전체 케이스'!$P$2:$P$198,MATCH(B22,'01_전체 케이스'!$D$2:$D$198,0))="","",INDEX('01_전체 케이스'!$P$2:$P$198,MATCH(B22,'01_전체 케이스'!$D$2:$D$198,0))),"")</f>
        <v/>
      </c>
      <c r="J22" s="43" t="str">
        <f>IFERROR(IF(INDEX('01_전체 케이스'!$U$2:$U$198,MATCH(B22,'01_전체 케이스'!$D$2:$D$198,0))="","",INDEX('01_전체 케이스'!$U$2:$U$198,MATCH(B22,'01_전체 케이스'!$D$2:$D$198,0))),"")</f>
        <v/>
      </c>
    </row>
    <row r="23" spans="1:10" ht="50.1" customHeight="1" x14ac:dyDescent="0.3">
      <c r="A23" s="45">
        <v>22</v>
      </c>
      <c r="B23" s="45" t="s">
        <v>400</v>
      </c>
      <c r="C23" s="45" t="s">
        <v>708</v>
      </c>
      <c r="D23" s="43" t="s">
        <v>336</v>
      </c>
      <c r="E23" s="43" t="s">
        <v>709</v>
      </c>
      <c r="F23" s="43" t="s">
        <v>401</v>
      </c>
      <c r="G23" s="43" t="s">
        <v>402</v>
      </c>
      <c r="H23" s="45" t="str">
        <f>IFERROR(INDEX('01_전체 케이스'!$I$2:$I$198,MATCH(B23,'01_전체 케이스'!$D$2:$D$198,0)),"미실행")</f>
        <v>미실행</v>
      </c>
      <c r="I23" s="45" t="str">
        <f>IFERROR(IF(INDEX('01_전체 케이스'!$P$2:$P$198,MATCH(B23,'01_전체 케이스'!$D$2:$D$198,0))="","",INDEX('01_전체 케이스'!$P$2:$P$198,MATCH(B23,'01_전체 케이스'!$D$2:$D$198,0))),"")</f>
        <v/>
      </c>
      <c r="J23" s="43" t="str">
        <f>IFERROR(IF(INDEX('01_전체 케이스'!$U$2:$U$198,MATCH(B23,'01_전체 케이스'!$D$2:$D$198,0))="","",INDEX('01_전체 케이스'!$U$2:$U$198,MATCH(B23,'01_전체 케이스'!$D$2:$D$198,0))),"")</f>
        <v/>
      </c>
    </row>
    <row r="24" spans="1:10" ht="50.1" customHeight="1" x14ac:dyDescent="0.3">
      <c r="A24" s="45">
        <v>23</v>
      </c>
      <c r="B24" s="45" t="s">
        <v>403</v>
      </c>
      <c r="C24" s="45" t="s">
        <v>708</v>
      </c>
      <c r="D24" s="43" t="s">
        <v>336</v>
      </c>
      <c r="E24" s="43" t="s">
        <v>709</v>
      </c>
      <c r="F24" s="43" t="s">
        <v>404</v>
      </c>
      <c r="G24" s="43" t="s">
        <v>405</v>
      </c>
      <c r="H24" s="45" t="str">
        <f>IFERROR(INDEX('01_전체 케이스'!$I$2:$I$198,MATCH(B24,'01_전체 케이스'!$D$2:$D$198,0)),"미실행")</f>
        <v>미실행</v>
      </c>
      <c r="I24" s="45" t="str">
        <f>IFERROR(IF(INDEX('01_전체 케이스'!$P$2:$P$198,MATCH(B24,'01_전체 케이스'!$D$2:$D$198,0))="","",INDEX('01_전체 케이스'!$P$2:$P$198,MATCH(B24,'01_전체 케이스'!$D$2:$D$198,0))),"")</f>
        <v/>
      </c>
      <c r="J24" s="43" t="str">
        <f>IFERROR(IF(INDEX('01_전체 케이스'!$U$2:$U$198,MATCH(B24,'01_전체 케이스'!$D$2:$D$198,0))="","",INDEX('01_전체 케이스'!$U$2:$U$198,MATCH(B24,'01_전체 케이스'!$D$2:$D$198,0))),"")</f>
        <v/>
      </c>
    </row>
    <row r="25" spans="1:10" ht="50.1" customHeight="1" x14ac:dyDescent="0.3">
      <c r="A25" s="45">
        <v>24</v>
      </c>
      <c r="B25" s="45" t="s">
        <v>406</v>
      </c>
      <c r="C25" s="45" t="s">
        <v>708</v>
      </c>
      <c r="D25" s="43" t="s">
        <v>336</v>
      </c>
      <c r="E25" s="43" t="s">
        <v>709</v>
      </c>
      <c r="F25" s="43" t="s">
        <v>407</v>
      </c>
      <c r="G25" s="43" t="s">
        <v>408</v>
      </c>
      <c r="H25" s="45" t="str">
        <f>IFERROR(INDEX('01_전체 케이스'!$I$2:$I$198,MATCH(B25,'01_전체 케이스'!$D$2:$D$198,0)),"미실행")</f>
        <v>미실행</v>
      </c>
      <c r="I25" s="45" t="str">
        <f>IFERROR(IF(INDEX('01_전체 케이스'!$P$2:$P$198,MATCH(B25,'01_전체 케이스'!$D$2:$D$198,0))="","",INDEX('01_전체 케이스'!$P$2:$P$198,MATCH(B25,'01_전체 케이스'!$D$2:$D$198,0))),"")</f>
        <v/>
      </c>
      <c r="J25" s="43" t="str">
        <f>IFERROR(IF(INDEX('01_전체 케이스'!$U$2:$U$198,MATCH(B25,'01_전체 케이스'!$D$2:$D$198,0))="","",INDEX('01_전체 케이스'!$U$2:$U$198,MATCH(B25,'01_전체 케이스'!$D$2:$D$198,0))),"")</f>
        <v/>
      </c>
    </row>
    <row r="26" spans="1:10" ht="50.1" customHeight="1" x14ac:dyDescent="0.3">
      <c r="A26" s="45">
        <v>25</v>
      </c>
      <c r="B26" s="45" t="s">
        <v>409</v>
      </c>
      <c r="C26" s="45" t="s">
        <v>708</v>
      </c>
      <c r="D26" s="43" t="s">
        <v>336</v>
      </c>
      <c r="E26" s="43" t="s">
        <v>709</v>
      </c>
      <c r="F26" s="43" t="s">
        <v>410</v>
      </c>
      <c r="G26" s="43" t="s">
        <v>411</v>
      </c>
      <c r="H26" s="45" t="str">
        <f>IFERROR(INDEX('01_전체 케이스'!$I$2:$I$198,MATCH(B26,'01_전체 케이스'!$D$2:$D$198,0)),"미실행")</f>
        <v>미실행</v>
      </c>
      <c r="I26" s="45" t="str">
        <f>IFERROR(IF(INDEX('01_전체 케이스'!$P$2:$P$198,MATCH(B26,'01_전체 케이스'!$D$2:$D$198,0))="","",INDEX('01_전체 케이스'!$P$2:$P$198,MATCH(B26,'01_전체 케이스'!$D$2:$D$198,0))),"")</f>
        <v/>
      </c>
      <c r="J26" s="43" t="str">
        <f>IFERROR(IF(INDEX('01_전체 케이스'!$U$2:$U$198,MATCH(B26,'01_전체 케이스'!$D$2:$D$198,0))="","",INDEX('01_전체 케이스'!$U$2:$U$198,MATCH(B26,'01_전체 케이스'!$D$2:$D$198,0))),"")</f>
        <v/>
      </c>
    </row>
    <row r="27" spans="1:10" ht="50.1" customHeight="1" x14ac:dyDescent="0.3">
      <c r="A27" s="45">
        <v>26</v>
      </c>
      <c r="B27" s="45" t="s">
        <v>492</v>
      </c>
      <c r="C27" s="45" t="s">
        <v>708</v>
      </c>
      <c r="D27" s="43" t="s">
        <v>493</v>
      </c>
      <c r="E27" s="43" t="s">
        <v>709</v>
      </c>
      <c r="F27" s="43" t="s">
        <v>494</v>
      </c>
      <c r="G27" s="43" t="s">
        <v>495</v>
      </c>
      <c r="H27" s="45" t="str">
        <f>IFERROR(INDEX('01_전체 케이스'!$I$2:$I$198,MATCH(B27,'01_전체 케이스'!$D$2:$D$198,0)),"미실행")</f>
        <v>미실행</v>
      </c>
      <c r="I27" s="45" t="str">
        <f>IFERROR(IF(INDEX('01_전체 케이스'!$P$2:$P$198,MATCH(B27,'01_전체 케이스'!$D$2:$D$198,0))="","",INDEX('01_전체 케이스'!$P$2:$P$198,MATCH(B27,'01_전체 케이스'!$D$2:$D$198,0))),"")</f>
        <v/>
      </c>
      <c r="J27" s="43" t="str">
        <f>IFERROR(IF(INDEX('01_전체 케이스'!$U$2:$U$198,MATCH(B27,'01_전체 케이스'!$D$2:$D$198,0))="","",INDEX('01_전체 케이스'!$U$2:$U$198,MATCH(B27,'01_전체 케이스'!$D$2:$D$198,0))),"")</f>
        <v/>
      </c>
    </row>
    <row r="28" spans="1:10" ht="50.1" customHeight="1" x14ac:dyDescent="0.3">
      <c r="A28" s="45">
        <v>27</v>
      </c>
      <c r="B28" s="45" t="s">
        <v>496</v>
      </c>
      <c r="C28" s="45" t="s">
        <v>708</v>
      </c>
      <c r="D28" s="43" t="s">
        <v>497</v>
      </c>
      <c r="E28" s="43" t="s">
        <v>709</v>
      </c>
      <c r="F28" s="43" t="s">
        <v>498</v>
      </c>
      <c r="G28" s="43" t="s">
        <v>499</v>
      </c>
      <c r="H28" s="45" t="str">
        <f>IFERROR(INDEX('01_전체 케이스'!$I$2:$I$198,MATCH(B28,'01_전체 케이스'!$D$2:$D$198,0)),"미실행")</f>
        <v>미실행</v>
      </c>
      <c r="I28" s="45" t="str">
        <f>IFERROR(IF(INDEX('01_전체 케이스'!$P$2:$P$198,MATCH(B28,'01_전체 케이스'!$D$2:$D$198,0))="","",INDEX('01_전체 케이스'!$P$2:$P$198,MATCH(B28,'01_전체 케이스'!$D$2:$D$198,0))),"")</f>
        <v/>
      </c>
      <c r="J28" s="43" t="str">
        <f>IFERROR(IF(INDEX('01_전체 케이스'!$U$2:$U$198,MATCH(B28,'01_전체 케이스'!$D$2:$D$198,0))="","",INDEX('01_전체 케이스'!$U$2:$U$198,MATCH(B28,'01_전체 케이스'!$D$2:$D$198,0))),"")</f>
        <v/>
      </c>
    </row>
    <row r="29" spans="1:10" ht="50.1" customHeight="1" x14ac:dyDescent="0.3">
      <c r="A29" s="45">
        <v>28</v>
      </c>
      <c r="B29" s="45" t="s">
        <v>500</v>
      </c>
      <c r="C29" s="45" t="s">
        <v>708</v>
      </c>
      <c r="D29" s="43" t="s">
        <v>501</v>
      </c>
      <c r="E29" s="43" t="s">
        <v>710</v>
      </c>
      <c r="F29" s="43" t="s">
        <v>502</v>
      </c>
      <c r="G29" s="43" t="s">
        <v>503</v>
      </c>
      <c r="H29" s="45" t="str">
        <f>IFERROR(INDEX('01_전체 케이스'!$I$2:$I$198,MATCH(B29,'01_전체 케이스'!$D$2:$D$198,0)),"미실행")</f>
        <v>미실행</v>
      </c>
      <c r="I29" s="45" t="str">
        <f>IFERROR(IF(INDEX('01_전체 케이스'!$P$2:$P$198,MATCH(B29,'01_전체 케이스'!$D$2:$D$198,0))="","",INDEX('01_전체 케이스'!$P$2:$P$198,MATCH(B29,'01_전체 케이스'!$D$2:$D$198,0))),"")</f>
        <v/>
      </c>
      <c r="J29" s="43" t="str">
        <f>IFERROR(IF(INDEX('01_전체 케이스'!$U$2:$U$198,MATCH(B29,'01_전체 케이스'!$D$2:$D$198,0))="","",INDEX('01_전체 케이스'!$U$2:$U$198,MATCH(B29,'01_전체 케이스'!$D$2:$D$198,0))),"")</f>
        <v/>
      </c>
    </row>
    <row r="30" spans="1:10" ht="50.1" customHeight="1" x14ac:dyDescent="0.3">
      <c r="A30" s="45">
        <v>29</v>
      </c>
      <c r="B30" s="45" t="s">
        <v>504</v>
      </c>
      <c r="C30" s="45" t="s">
        <v>708</v>
      </c>
      <c r="D30" s="43" t="s">
        <v>505</v>
      </c>
      <c r="E30" s="43" t="s">
        <v>711</v>
      </c>
      <c r="F30" s="43" t="s">
        <v>506</v>
      </c>
      <c r="G30" s="43" t="s">
        <v>507</v>
      </c>
      <c r="H30" s="45" t="str">
        <f>IFERROR(INDEX('01_전체 케이스'!$I$2:$I$198,MATCH(B30,'01_전체 케이스'!$D$2:$D$198,0)),"미실행")</f>
        <v>미실행</v>
      </c>
      <c r="I30" s="45" t="str">
        <f>IFERROR(IF(INDEX('01_전체 케이스'!$P$2:$P$198,MATCH(B30,'01_전체 케이스'!$D$2:$D$198,0))="","",INDEX('01_전체 케이스'!$P$2:$P$198,MATCH(B30,'01_전체 케이스'!$D$2:$D$198,0))),"")</f>
        <v/>
      </c>
      <c r="J30" s="43" t="str">
        <f>IFERROR(IF(INDEX('01_전체 케이스'!$U$2:$U$198,MATCH(B30,'01_전체 케이스'!$D$2:$D$198,0))="","",INDEX('01_전체 케이스'!$U$2:$U$198,MATCH(B30,'01_전체 케이스'!$D$2:$D$198,0))),"")</f>
        <v/>
      </c>
    </row>
    <row r="31" spans="1:10" ht="50.1" customHeight="1" x14ac:dyDescent="0.3">
      <c r="A31" s="45">
        <v>30</v>
      </c>
      <c r="B31" s="45" t="s">
        <v>508</v>
      </c>
      <c r="C31" s="45" t="s">
        <v>708</v>
      </c>
      <c r="D31" s="43" t="s">
        <v>509</v>
      </c>
      <c r="E31" s="43" t="s">
        <v>712</v>
      </c>
      <c r="F31" s="43" t="s">
        <v>510</v>
      </c>
      <c r="G31" s="43" t="s">
        <v>511</v>
      </c>
      <c r="H31" s="45" t="str">
        <f>IFERROR(INDEX('01_전체 케이스'!$I$2:$I$198,MATCH(B31,'01_전체 케이스'!$D$2:$D$198,0)),"미실행")</f>
        <v>미실행</v>
      </c>
      <c r="I31" s="45" t="str">
        <f>IFERROR(IF(INDEX('01_전체 케이스'!$P$2:$P$198,MATCH(B31,'01_전체 케이스'!$D$2:$D$198,0))="","",INDEX('01_전체 케이스'!$P$2:$P$198,MATCH(B31,'01_전체 케이스'!$D$2:$D$198,0))),"")</f>
        <v/>
      </c>
      <c r="J31" s="43" t="str">
        <f>IFERROR(IF(INDEX('01_전체 케이스'!$U$2:$U$198,MATCH(B31,'01_전체 케이스'!$D$2:$D$198,0))="","",INDEX('01_전체 케이스'!$U$2:$U$198,MATCH(B31,'01_전체 케이스'!$D$2:$D$198,0))),"")</f>
        <v/>
      </c>
    </row>
    <row r="32" spans="1:10" ht="50.1" customHeight="1" x14ac:dyDescent="0.3">
      <c r="A32" s="45">
        <v>31</v>
      </c>
      <c r="B32" s="45" t="s">
        <v>512</v>
      </c>
      <c r="C32" s="45" t="s">
        <v>708</v>
      </c>
      <c r="D32" s="43" t="s">
        <v>513</v>
      </c>
      <c r="E32" s="43" t="s">
        <v>709</v>
      </c>
      <c r="F32" s="43" t="s">
        <v>514</v>
      </c>
      <c r="G32" s="43" t="s">
        <v>515</v>
      </c>
      <c r="H32" s="45" t="str">
        <f>IFERROR(INDEX('01_전체 케이스'!$I$2:$I$198,MATCH(B32,'01_전체 케이스'!$D$2:$D$198,0)),"미실행")</f>
        <v>미실행</v>
      </c>
      <c r="I32" s="45" t="str">
        <f>IFERROR(IF(INDEX('01_전체 케이스'!$P$2:$P$198,MATCH(B32,'01_전체 케이스'!$D$2:$D$198,0))="","",INDEX('01_전체 케이스'!$P$2:$P$198,MATCH(B32,'01_전체 케이스'!$D$2:$D$198,0))),"")</f>
        <v/>
      </c>
      <c r="J32" s="43" t="str">
        <f>IFERROR(IF(INDEX('01_전체 케이스'!$U$2:$U$198,MATCH(B32,'01_전체 케이스'!$D$2:$D$198,0))="","",INDEX('01_전체 케이스'!$U$2:$U$198,MATCH(B32,'01_전체 케이스'!$D$2:$D$198,0))),"")</f>
        <v/>
      </c>
    </row>
    <row r="33" spans="1:10" ht="50.1" customHeight="1" x14ac:dyDescent="0.3">
      <c r="A33" s="45">
        <v>32</v>
      </c>
      <c r="B33" s="45" t="s">
        <v>516</v>
      </c>
      <c r="C33" s="45" t="s">
        <v>708</v>
      </c>
      <c r="D33" s="43" t="s">
        <v>517</v>
      </c>
      <c r="E33" s="43" t="s">
        <v>713</v>
      </c>
      <c r="F33" s="43" t="s">
        <v>518</v>
      </c>
      <c r="G33" s="43" t="s">
        <v>519</v>
      </c>
      <c r="H33" s="45" t="str">
        <f>IFERROR(INDEX('01_전체 케이스'!$I$2:$I$198,MATCH(B33,'01_전체 케이스'!$D$2:$D$198,0)),"미실행")</f>
        <v>미실행</v>
      </c>
      <c r="I33" s="45" t="str">
        <f>IFERROR(IF(INDEX('01_전체 케이스'!$P$2:$P$198,MATCH(B33,'01_전체 케이스'!$D$2:$D$198,0))="","",INDEX('01_전체 케이스'!$P$2:$P$198,MATCH(B33,'01_전체 케이스'!$D$2:$D$198,0))),"")</f>
        <v/>
      </c>
      <c r="J33" s="43" t="str">
        <f>IFERROR(IF(INDEX('01_전체 케이스'!$U$2:$U$198,MATCH(B33,'01_전체 케이스'!$D$2:$D$198,0))="","",INDEX('01_전체 케이스'!$U$2:$U$198,MATCH(B33,'01_전체 케이스'!$D$2:$D$198,0))),"")</f>
        <v/>
      </c>
    </row>
  </sheetData>
  <phoneticPr fontId="1" type="noConversion"/>
  <conditionalFormatting sqref="H2:H33">
    <cfRule type="expression" dxfId="19" priority="1">
      <formula>H2="PASS"</formula>
    </cfRule>
  </conditionalFormatting>
  <conditionalFormatting sqref="H2:H33">
    <cfRule type="expression" dxfId="18" priority="2">
      <formula>H2="FAIL"</formula>
    </cfRule>
  </conditionalFormatting>
  <conditionalFormatting sqref="H2:H33">
    <cfRule type="expression" dxfId="17" priority="3">
      <formula>H2="보류"</formula>
    </cfRule>
  </conditionalFormatting>
  <conditionalFormatting sqref="H2:H33">
    <cfRule type="expression" dxfId="16" priority="4">
      <formula>H2="미실행"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A1BB-5D51-4264-9417-5D55D5FED5A1}">
  <sheetPr>
    <tabColor rgb="FF0EA5E9"/>
  </sheetPr>
  <dimension ref="A1:J16"/>
  <sheetViews>
    <sheetView showGridLines="0" workbookViewId="0">
      <pane ySplit="1" topLeftCell="A2" activePane="bottomLeft" state="frozen"/>
      <selection pane="bottomLeft" activeCell="G11" sqref="G11"/>
    </sheetView>
  </sheetViews>
  <sheetFormatPr defaultRowHeight="16.5" x14ac:dyDescent="0.3"/>
  <cols>
    <col min="1" max="1" width="6.375" style="1" customWidth="1"/>
    <col min="2" max="2" width="16.625" style="1" customWidth="1"/>
    <col min="3" max="3" width="30" style="1" customWidth="1"/>
    <col min="4" max="4" width="55" style="1" customWidth="1"/>
    <col min="5" max="5" width="50" style="1" customWidth="1"/>
    <col min="6" max="6" width="11.625" customWidth="1"/>
    <col min="7" max="7" width="36.625" customWidth="1"/>
    <col min="8" max="8" width="14.125" customWidth="1"/>
    <col min="9" max="9" width="11.625" customWidth="1"/>
    <col min="10" max="10" width="28.375" customWidth="1"/>
  </cols>
  <sheetData>
    <row r="1" spans="1:10" ht="27.95" customHeight="1" x14ac:dyDescent="0.3">
      <c r="A1" s="43" t="s">
        <v>0</v>
      </c>
      <c r="B1" s="43" t="s">
        <v>3</v>
      </c>
      <c r="C1" s="43" t="s">
        <v>714</v>
      </c>
      <c r="D1" s="43" t="s">
        <v>715</v>
      </c>
      <c r="E1" s="43" t="s">
        <v>716</v>
      </c>
      <c r="F1" s="46" t="s">
        <v>8</v>
      </c>
      <c r="G1" s="46" t="s">
        <v>11</v>
      </c>
      <c r="H1" s="46" t="s">
        <v>15</v>
      </c>
      <c r="I1" s="46" t="s">
        <v>19</v>
      </c>
      <c r="J1" s="46" t="s">
        <v>20</v>
      </c>
    </row>
    <row r="2" spans="1:10" ht="57.95" customHeight="1" x14ac:dyDescent="0.3">
      <c r="A2" s="45">
        <v>1</v>
      </c>
      <c r="B2" s="45" t="s">
        <v>460</v>
      </c>
      <c r="C2" s="43" t="s">
        <v>461</v>
      </c>
      <c r="D2" s="43" t="s">
        <v>462</v>
      </c>
      <c r="E2" s="43" t="s">
        <v>463</v>
      </c>
      <c r="F2" s="44" t="str">
        <f>IFERROR(INDEX('01_전체 케이스'!$I$2:$I$198,MATCH(B2,'01_전체 케이스'!$D$2:$D$198,0)),"미실행")</f>
        <v>미실행</v>
      </c>
      <c r="G2" s="43" t="str">
        <f>IFERROR(IF(INDEX('01_전체 케이스'!$L$2:$L$198,MATCH(B2,'01_전체 케이스'!$D$2:$D$198,0))="","",INDEX('01_전체 케이스'!$L$2:$L$198,MATCH(B2,'01_전체 케이스'!$D$2:$D$198,0))),"")</f>
        <v/>
      </c>
      <c r="H2" s="43" t="str">
        <f>IFERROR(IF(INDEX('01_전체 케이스'!$P$2:$P$198,MATCH(B2,'01_전체 케이스'!$D$2:$D$198,0))="","",INDEX('01_전체 케이스'!$P$2:$P$198,MATCH(B2,'01_전체 케이스'!$D$2:$D$198,0))),"")</f>
        <v/>
      </c>
      <c r="I2" s="43" t="str">
        <f>IFERROR(IF(INDEX('01_전체 케이스'!$T$2:$T$198,MATCH(B2,'01_전체 케이스'!$D$2:$D$198,0))="","",INDEX('01_전체 케이스'!$T$2:$T$198,MATCH(B2,'01_전체 케이스'!$D$2:$D$198,0))),"")</f>
        <v/>
      </c>
      <c r="J2" s="43" t="str">
        <f>IFERROR(IF(INDEX('01_전체 케이스'!$U$2:$U$198,MATCH(B2,'01_전체 케이스'!$D$2:$D$198,0))="","",INDEX('01_전체 케이스'!$U$2:$U$198,MATCH(B2,'01_전체 케이스'!$D$2:$D$198,0))),"")</f>
        <v/>
      </c>
    </row>
    <row r="3" spans="1:10" ht="57.95" customHeight="1" x14ac:dyDescent="0.3">
      <c r="A3" s="45">
        <v>2</v>
      </c>
      <c r="B3" s="45" t="s">
        <v>464</v>
      </c>
      <c r="C3" s="43" t="s">
        <v>465</v>
      </c>
      <c r="D3" s="43" t="s">
        <v>466</v>
      </c>
      <c r="E3" s="43" t="s">
        <v>467</v>
      </c>
      <c r="F3" s="44" t="str">
        <f>IFERROR(INDEX('01_전체 케이스'!$I$2:$I$198,MATCH(B3,'01_전체 케이스'!$D$2:$D$198,0)),"미실행")</f>
        <v>미실행</v>
      </c>
      <c r="G3" s="43" t="str">
        <f>IFERROR(IF(INDEX('01_전체 케이스'!$L$2:$L$198,MATCH(B3,'01_전체 케이스'!$D$2:$D$198,0))="","",INDEX('01_전체 케이스'!$L$2:$L$198,MATCH(B3,'01_전체 케이스'!$D$2:$D$198,0))),"")</f>
        <v/>
      </c>
      <c r="H3" s="43" t="str">
        <f>IFERROR(IF(INDEX('01_전체 케이스'!$P$2:$P$198,MATCH(B3,'01_전체 케이스'!$D$2:$D$198,0))="","",INDEX('01_전체 케이스'!$P$2:$P$198,MATCH(B3,'01_전체 케이스'!$D$2:$D$198,0))),"")</f>
        <v/>
      </c>
      <c r="I3" s="43" t="str">
        <f>IFERROR(IF(INDEX('01_전체 케이스'!$T$2:$T$198,MATCH(B3,'01_전체 케이스'!$D$2:$D$198,0))="","",INDEX('01_전체 케이스'!$T$2:$T$198,MATCH(B3,'01_전체 케이스'!$D$2:$D$198,0))),"")</f>
        <v/>
      </c>
      <c r="J3" s="43" t="str">
        <f>IFERROR(IF(INDEX('01_전체 케이스'!$U$2:$U$198,MATCH(B3,'01_전체 케이스'!$D$2:$D$198,0))="","",INDEX('01_전체 케이스'!$U$2:$U$198,MATCH(B3,'01_전체 케이스'!$D$2:$D$198,0))),"")</f>
        <v/>
      </c>
    </row>
    <row r="4" spans="1:10" ht="57.95" customHeight="1" x14ac:dyDescent="0.3">
      <c r="A4" s="45">
        <v>3</v>
      </c>
      <c r="B4" s="45" t="s">
        <v>468</v>
      </c>
      <c r="C4" s="43" t="s">
        <v>469</v>
      </c>
      <c r="D4" s="43" t="s">
        <v>470</v>
      </c>
      <c r="E4" s="43" t="s">
        <v>471</v>
      </c>
      <c r="F4" s="44" t="str">
        <f>IFERROR(INDEX('01_전체 케이스'!$I$2:$I$198,MATCH(B4,'01_전체 케이스'!$D$2:$D$198,0)),"미실행")</f>
        <v>미실행</v>
      </c>
      <c r="G4" s="43" t="str">
        <f>IFERROR(IF(INDEX('01_전체 케이스'!$L$2:$L$198,MATCH(B4,'01_전체 케이스'!$D$2:$D$198,0))="","",INDEX('01_전체 케이스'!$L$2:$L$198,MATCH(B4,'01_전체 케이스'!$D$2:$D$198,0))),"")</f>
        <v/>
      </c>
      <c r="H4" s="43" t="str">
        <f>IFERROR(IF(INDEX('01_전체 케이스'!$P$2:$P$198,MATCH(B4,'01_전체 케이스'!$D$2:$D$198,0))="","",INDEX('01_전체 케이스'!$P$2:$P$198,MATCH(B4,'01_전체 케이스'!$D$2:$D$198,0))),"")</f>
        <v/>
      </c>
      <c r="I4" s="43" t="str">
        <f>IFERROR(IF(INDEX('01_전체 케이스'!$T$2:$T$198,MATCH(B4,'01_전체 케이스'!$D$2:$D$198,0))="","",INDEX('01_전체 케이스'!$T$2:$T$198,MATCH(B4,'01_전체 케이스'!$D$2:$D$198,0))),"")</f>
        <v/>
      </c>
      <c r="J4" s="43" t="str">
        <f>IFERROR(IF(INDEX('01_전체 케이스'!$U$2:$U$198,MATCH(B4,'01_전체 케이스'!$D$2:$D$198,0))="","",INDEX('01_전체 케이스'!$U$2:$U$198,MATCH(B4,'01_전체 케이스'!$D$2:$D$198,0))),"")</f>
        <v/>
      </c>
    </row>
    <row r="5" spans="1:10" ht="57.95" customHeight="1" x14ac:dyDescent="0.3">
      <c r="A5" s="45">
        <v>4</v>
      </c>
      <c r="B5" s="45" t="s">
        <v>472</v>
      </c>
      <c r="C5" s="43" t="s">
        <v>473</v>
      </c>
      <c r="D5" s="43" t="s">
        <v>474</v>
      </c>
      <c r="E5" s="43" t="s">
        <v>475</v>
      </c>
      <c r="F5" s="44" t="str">
        <f>IFERROR(INDEX('01_전체 케이스'!$I$2:$I$198,MATCH(B5,'01_전체 케이스'!$D$2:$D$198,0)),"미실행")</f>
        <v>미실행</v>
      </c>
      <c r="G5" s="43" t="str">
        <f>IFERROR(IF(INDEX('01_전체 케이스'!$L$2:$L$198,MATCH(B5,'01_전체 케이스'!$D$2:$D$198,0))="","",INDEX('01_전체 케이스'!$L$2:$L$198,MATCH(B5,'01_전체 케이스'!$D$2:$D$198,0))),"")</f>
        <v/>
      </c>
      <c r="H5" s="43" t="str">
        <f>IFERROR(IF(INDEX('01_전체 케이스'!$P$2:$P$198,MATCH(B5,'01_전체 케이스'!$D$2:$D$198,0))="","",INDEX('01_전체 케이스'!$P$2:$P$198,MATCH(B5,'01_전체 케이스'!$D$2:$D$198,0))),"")</f>
        <v/>
      </c>
      <c r="I5" s="43" t="str">
        <f>IFERROR(IF(INDEX('01_전체 케이스'!$T$2:$T$198,MATCH(B5,'01_전체 케이스'!$D$2:$D$198,0))="","",INDEX('01_전체 케이스'!$T$2:$T$198,MATCH(B5,'01_전체 케이스'!$D$2:$D$198,0))),"")</f>
        <v/>
      </c>
      <c r="J5" s="43" t="str">
        <f>IFERROR(IF(INDEX('01_전체 케이스'!$U$2:$U$198,MATCH(B5,'01_전체 케이스'!$D$2:$D$198,0))="","",INDEX('01_전체 케이스'!$U$2:$U$198,MATCH(B5,'01_전체 케이스'!$D$2:$D$198,0))),"")</f>
        <v/>
      </c>
    </row>
    <row r="6" spans="1:10" ht="57.95" customHeight="1" x14ac:dyDescent="0.3">
      <c r="A6" s="45">
        <v>5</v>
      </c>
      <c r="B6" s="45" t="s">
        <v>476</v>
      </c>
      <c r="C6" s="43" t="s">
        <v>477</v>
      </c>
      <c r="D6" s="43" t="s">
        <v>478</v>
      </c>
      <c r="E6" s="43" t="s">
        <v>479</v>
      </c>
      <c r="F6" s="44" t="str">
        <f>IFERROR(INDEX('01_전체 케이스'!$I$2:$I$198,MATCH(B6,'01_전체 케이스'!$D$2:$D$198,0)),"미실행")</f>
        <v>미실행</v>
      </c>
      <c r="G6" s="43" t="str">
        <f>IFERROR(IF(INDEX('01_전체 케이스'!$L$2:$L$198,MATCH(B6,'01_전체 케이스'!$D$2:$D$198,0))="","",INDEX('01_전체 케이스'!$L$2:$L$198,MATCH(B6,'01_전체 케이스'!$D$2:$D$198,0))),"")</f>
        <v/>
      </c>
      <c r="H6" s="43" t="str">
        <f>IFERROR(IF(INDEX('01_전체 케이스'!$P$2:$P$198,MATCH(B6,'01_전체 케이스'!$D$2:$D$198,0))="","",INDEX('01_전체 케이스'!$P$2:$P$198,MATCH(B6,'01_전체 케이스'!$D$2:$D$198,0))),"")</f>
        <v/>
      </c>
      <c r="I6" s="43" t="str">
        <f>IFERROR(IF(INDEX('01_전체 케이스'!$T$2:$T$198,MATCH(B6,'01_전체 케이스'!$D$2:$D$198,0))="","",INDEX('01_전체 케이스'!$T$2:$T$198,MATCH(B6,'01_전체 케이스'!$D$2:$D$198,0))),"")</f>
        <v/>
      </c>
      <c r="J6" s="43" t="str">
        <f>IFERROR(IF(INDEX('01_전체 케이스'!$U$2:$U$198,MATCH(B6,'01_전체 케이스'!$D$2:$D$198,0))="","",INDEX('01_전체 케이스'!$U$2:$U$198,MATCH(B6,'01_전체 케이스'!$D$2:$D$198,0))),"")</f>
        <v/>
      </c>
    </row>
    <row r="7" spans="1:10" ht="57.95" customHeight="1" x14ac:dyDescent="0.3">
      <c r="A7" s="45">
        <v>6</v>
      </c>
      <c r="B7" s="45" t="s">
        <v>480</v>
      </c>
      <c r="C7" s="43" t="s">
        <v>481</v>
      </c>
      <c r="D7" s="43" t="s">
        <v>482</v>
      </c>
      <c r="E7" s="43" t="s">
        <v>483</v>
      </c>
      <c r="F7" s="44" t="str">
        <f>IFERROR(INDEX('01_전체 케이스'!$I$2:$I$198,MATCH(B7,'01_전체 케이스'!$D$2:$D$198,0)),"미실행")</f>
        <v>미실행</v>
      </c>
      <c r="G7" s="43" t="str">
        <f>IFERROR(IF(INDEX('01_전체 케이스'!$L$2:$L$198,MATCH(B7,'01_전체 케이스'!$D$2:$D$198,0))="","",INDEX('01_전체 케이스'!$L$2:$L$198,MATCH(B7,'01_전체 케이스'!$D$2:$D$198,0))),"")</f>
        <v/>
      </c>
      <c r="H7" s="43" t="str">
        <f>IFERROR(IF(INDEX('01_전체 케이스'!$P$2:$P$198,MATCH(B7,'01_전체 케이스'!$D$2:$D$198,0))="","",INDEX('01_전체 케이스'!$P$2:$P$198,MATCH(B7,'01_전체 케이스'!$D$2:$D$198,0))),"")</f>
        <v/>
      </c>
      <c r="I7" s="43" t="str">
        <f>IFERROR(IF(INDEX('01_전체 케이스'!$T$2:$T$198,MATCH(B7,'01_전체 케이스'!$D$2:$D$198,0))="","",INDEX('01_전체 케이스'!$T$2:$T$198,MATCH(B7,'01_전체 케이스'!$D$2:$D$198,0))),"")</f>
        <v/>
      </c>
      <c r="J7" s="43" t="str">
        <f>IFERROR(IF(INDEX('01_전체 케이스'!$U$2:$U$198,MATCH(B7,'01_전체 케이스'!$D$2:$D$198,0))="","",INDEX('01_전체 케이스'!$U$2:$U$198,MATCH(B7,'01_전체 케이스'!$D$2:$D$198,0))),"")</f>
        <v/>
      </c>
    </row>
    <row r="8" spans="1:10" ht="57.95" customHeight="1" x14ac:dyDescent="0.3">
      <c r="A8" s="45">
        <v>7</v>
      </c>
      <c r="B8" s="45" t="s">
        <v>484</v>
      </c>
      <c r="C8" s="43" t="s">
        <v>485</v>
      </c>
      <c r="D8" s="43" t="s">
        <v>486</v>
      </c>
      <c r="E8" s="43" t="s">
        <v>487</v>
      </c>
      <c r="F8" s="44" t="str">
        <f>IFERROR(INDEX('01_전체 케이스'!$I$2:$I$198,MATCH(B8,'01_전체 케이스'!$D$2:$D$198,0)),"미실행")</f>
        <v>미실행</v>
      </c>
      <c r="G8" s="43" t="str">
        <f>IFERROR(IF(INDEX('01_전체 케이스'!$L$2:$L$198,MATCH(B8,'01_전체 케이스'!$D$2:$D$198,0))="","",INDEX('01_전체 케이스'!$L$2:$L$198,MATCH(B8,'01_전체 케이스'!$D$2:$D$198,0))),"")</f>
        <v/>
      </c>
      <c r="H8" s="43" t="str">
        <f>IFERROR(IF(INDEX('01_전체 케이스'!$P$2:$P$198,MATCH(B8,'01_전체 케이스'!$D$2:$D$198,0))="","",INDEX('01_전체 케이스'!$P$2:$P$198,MATCH(B8,'01_전체 케이스'!$D$2:$D$198,0))),"")</f>
        <v/>
      </c>
      <c r="I8" s="43" t="str">
        <f>IFERROR(IF(INDEX('01_전체 케이스'!$T$2:$T$198,MATCH(B8,'01_전체 케이스'!$D$2:$D$198,0))="","",INDEX('01_전체 케이스'!$T$2:$T$198,MATCH(B8,'01_전체 케이스'!$D$2:$D$198,0))),"")</f>
        <v/>
      </c>
      <c r="J8" s="43" t="str">
        <f>IFERROR(IF(INDEX('01_전체 케이스'!$U$2:$U$198,MATCH(B8,'01_전체 케이스'!$D$2:$D$198,0))="","",INDEX('01_전체 케이스'!$U$2:$U$198,MATCH(B8,'01_전체 케이스'!$D$2:$D$198,0))),"")</f>
        <v/>
      </c>
    </row>
    <row r="9" spans="1:10" ht="57.95" customHeight="1" x14ac:dyDescent="0.3">
      <c r="A9" s="45">
        <v>8</v>
      </c>
      <c r="B9" s="45" t="s">
        <v>488</v>
      </c>
      <c r="C9" s="43" t="s">
        <v>489</v>
      </c>
      <c r="D9" s="43" t="s">
        <v>490</v>
      </c>
      <c r="E9" s="43" t="s">
        <v>491</v>
      </c>
      <c r="F9" s="44" t="str">
        <f>IFERROR(INDEX('01_전체 케이스'!$I$2:$I$198,MATCH(B9,'01_전체 케이스'!$D$2:$D$198,0)),"미실행")</f>
        <v>미실행</v>
      </c>
      <c r="G9" s="43" t="str">
        <f>IFERROR(IF(INDEX('01_전체 케이스'!$L$2:$L$198,MATCH(B9,'01_전체 케이스'!$D$2:$D$198,0))="","",INDEX('01_전체 케이스'!$L$2:$L$198,MATCH(B9,'01_전체 케이스'!$D$2:$D$198,0))),"")</f>
        <v/>
      </c>
      <c r="H9" s="43" t="str">
        <f>IFERROR(IF(INDEX('01_전체 케이스'!$P$2:$P$198,MATCH(B9,'01_전체 케이스'!$D$2:$D$198,0))="","",INDEX('01_전체 케이스'!$P$2:$P$198,MATCH(B9,'01_전체 케이스'!$D$2:$D$198,0))),"")</f>
        <v/>
      </c>
      <c r="I9" s="43" t="str">
        <f>IFERROR(IF(INDEX('01_전체 케이스'!$T$2:$T$198,MATCH(B9,'01_전체 케이스'!$D$2:$D$198,0))="","",INDEX('01_전체 케이스'!$T$2:$T$198,MATCH(B9,'01_전체 케이스'!$D$2:$D$198,0))),"")</f>
        <v/>
      </c>
      <c r="J9" s="43" t="str">
        <f>IFERROR(IF(INDEX('01_전체 케이스'!$U$2:$U$198,MATCH(B9,'01_전체 케이스'!$D$2:$D$198,0))="","",INDEX('01_전체 케이스'!$U$2:$U$198,MATCH(B9,'01_전체 케이스'!$D$2:$D$198,0))),"")</f>
        <v/>
      </c>
    </row>
    <row r="10" spans="1:10" ht="57.95" customHeight="1" x14ac:dyDescent="0.3">
      <c r="A10" s="45">
        <v>9</v>
      </c>
      <c r="B10" s="45" t="s">
        <v>492</v>
      </c>
      <c r="C10" s="43" t="s">
        <v>493</v>
      </c>
      <c r="D10" s="43" t="s">
        <v>494</v>
      </c>
      <c r="E10" s="43" t="s">
        <v>495</v>
      </c>
      <c r="F10" s="44" t="str">
        <f>IFERROR(INDEX('01_전체 케이스'!$I$2:$I$198,MATCH(B10,'01_전체 케이스'!$D$2:$D$198,0)),"미실행")</f>
        <v>미실행</v>
      </c>
      <c r="G10" s="43" t="str">
        <f>IFERROR(IF(INDEX('01_전체 케이스'!$L$2:$L$198,MATCH(B10,'01_전체 케이스'!$D$2:$D$198,0))="","",INDEX('01_전체 케이스'!$L$2:$L$198,MATCH(B10,'01_전체 케이스'!$D$2:$D$198,0))),"")</f>
        <v/>
      </c>
      <c r="H10" s="43" t="str">
        <f>IFERROR(IF(INDEX('01_전체 케이스'!$P$2:$P$198,MATCH(B10,'01_전체 케이스'!$D$2:$D$198,0))="","",INDEX('01_전체 케이스'!$P$2:$P$198,MATCH(B10,'01_전체 케이스'!$D$2:$D$198,0))),"")</f>
        <v/>
      </c>
      <c r="I10" s="43" t="str">
        <f>IFERROR(IF(INDEX('01_전체 케이스'!$T$2:$T$198,MATCH(B10,'01_전체 케이스'!$D$2:$D$198,0))="","",INDEX('01_전체 케이스'!$T$2:$T$198,MATCH(B10,'01_전체 케이스'!$D$2:$D$198,0))),"")</f>
        <v/>
      </c>
      <c r="J10" s="43" t="str">
        <f>IFERROR(IF(INDEX('01_전체 케이스'!$U$2:$U$198,MATCH(B10,'01_전체 케이스'!$D$2:$D$198,0))="","",INDEX('01_전체 케이스'!$U$2:$U$198,MATCH(B10,'01_전체 케이스'!$D$2:$D$198,0))),"")</f>
        <v/>
      </c>
    </row>
    <row r="11" spans="1:10" ht="57.95" customHeight="1" x14ac:dyDescent="0.3">
      <c r="A11" s="45">
        <v>10</v>
      </c>
      <c r="B11" s="45" t="s">
        <v>496</v>
      </c>
      <c r="C11" s="43" t="s">
        <v>497</v>
      </c>
      <c r="D11" s="43" t="s">
        <v>498</v>
      </c>
      <c r="E11" s="43" t="s">
        <v>499</v>
      </c>
      <c r="F11" s="44" t="str">
        <f>IFERROR(INDEX('01_전체 케이스'!$I$2:$I$198,MATCH(B11,'01_전체 케이스'!$D$2:$D$198,0)),"미실행")</f>
        <v>미실행</v>
      </c>
      <c r="G11" s="43" t="str">
        <f>IFERROR(IF(INDEX('01_전체 케이스'!$L$2:$L$198,MATCH(B11,'01_전체 케이스'!$D$2:$D$198,0))="","",INDEX('01_전체 케이스'!$L$2:$L$198,MATCH(B11,'01_전체 케이스'!$D$2:$D$198,0))),"")</f>
        <v/>
      </c>
      <c r="H11" s="43" t="str">
        <f>IFERROR(IF(INDEX('01_전체 케이스'!$P$2:$P$198,MATCH(B11,'01_전체 케이스'!$D$2:$D$198,0))="","",INDEX('01_전체 케이스'!$P$2:$P$198,MATCH(B11,'01_전체 케이스'!$D$2:$D$198,0))),"")</f>
        <v/>
      </c>
      <c r="I11" s="43" t="str">
        <f>IFERROR(IF(INDEX('01_전체 케이스'!$T$2:$T$198,MATCH(B11,'01_전체 케이스'!$D$2:$D$198,0))="","",INDEX('01_전체 케이스'!$T$2:$T$198,MATCH(B11,'01_전체 케이스'!$D$2:$D$198,0))),"")</f>
        <v/>
      </c>
      <c r="J11" s="43" t="str">
        <f>IFERROR(IF(INDEX('01_전체 케이스'!$U$2:$U$198,MATCH(B11,'01_전체 케이스'!$D$2:$D$198,0))="","",INDEX('01_전체 케이스'!$U$2:$U$198,MATCH(B11,'01_전체 케이스'!$D$2:$D$198,0))),"")</f>
        <v/>
      </c>
    </row>
    <row r="12" spans="1:10" ht="57.95" customHeight="1" x14ac:dyDescent="0.3">
      <c r="A12" s="45">
        <v>11</v>
      </c>
      <c r="B12" s="45" t="s">
        <v>500</v>
      </c>
      <c r="C12" s="43" t="s">
        <v>501</v>
      </c>
      <c r="D12" s="43" t="s">
        <v>502</v>
      </c>
      <c r="E12" s="43" t="s">
        <v>503</v>
      </c>
      <c r="F12" s="44" t="str">
        <f>IFERROR(INDEX('01_전체 케이스'!$I$2:$I$198,MATCH(B12,'01_전체 케이스'!$D$2:$D$198,0)),"미실행")</f>
        <v>미실행</v>
      </c>
      <c r="G12" s="43" t="str">
        <f>IFERROR(IF(INDEX('01_전체 케이스'!$L$2:$L$198,MATCH(B12,'01_전체 케이스'!$D$2:$D$198,0))="","",INDEX('01_전체 케이스'!$L$2:$L$198,MATCH(B12,'01_전체 케이스'!$D$2:$D$198,0))),"")</f>
        <v/>
      </c>
      <c r="H12" s="43" t="str">
        <f>IFERROR(IF(INDEX('01_전체 케이스'!$P$2:$P$198,MATCH(B12,'01_전체 케이스'!$D$2:$D$198,0))="","",INDEX('01_전체 케이스'!$P$2:$P$198,MATCH(B12,'01_전체 케이스'!$D$2:$D$198,0))),"")</f>
        <v/>
      </c>
      <c r="I12" s="43" t="str">
        <f>IFERROR(IF(INDEX('01_전체 케이스'!$T$2:$T$198,MATCH(B12,'01_전체 케이스'!$D$2:$D$198,0))="","",INDEX('01_전체 케이스'!$T$2:$T$198,MATCH(B12,'01_전체 케이스'!$D$2:$D$198,0))),"")</f>
        <v/>
      </c>
      <c r="J12" s="43" t="str">
        <f>IFERROR(IF(INDEX('01_전체 케이스'!$U$2:$U$198,MATCH(B12,'01_전체 케이스'!$D$2:$D$198,0))="","",INDEX('01_전체 케이스'!$U$2:$U$198,MATCH(B12,'01_전체 케이스'!$D$2:$D$198,0))),"")</f>
        <v/>
      </c>
    </row>
    <row r="13" spans="1:10" ht="57.95" customHeight="1" x14ac:dyDescent="0.3">
      <c r="A13" s="45">
        <v>12</v>
      </c>
      <c r="B13" s="45" t="s">
        <v>504</v>
      </c>
      <c r="C13" s="43" t="s">
        <v>505</v>
      </c>
      <c r="D13" s="43" t="s">
        <v>506</v>
      </c>
      <c r="E13" s="43" t="s">
        <v>507</v>
      </c>
      <c r="F13" s="44" t="str">
        <f>IFERROR(INDEX('01_전체 케이스'!$I$2:$I$198,MATCH(B13,'01_전체 케이스'!$D$2:$D$198,0)),"미실행")</f>
        <v>미실행</v>
      </c>
      <c r="G13" s="43" t="str">
        <f>IFERROR(IF(INDEX('01_전체 케이스'!$L$2:$L$198,MATCH(B13,'01_전체 케이스'!$D$2:$D$198,0))="","",INDEX('01_전체 케이스'!$L$2:$L$198,MATCH(B13,'01_전체 케이스'!$D$2:$D$198,0))),"")</f>
        <v/>
      </c>
      <c r="H13" s="43" t="str">
        <f>IFERROR(IF(INDEX('01_전체 케이스'!$P$2:$P$198,MATCH(B13,'01_전체 케이스'!$D$2:$D$198,0))="","",INDEX('01_전체 케이스'!$P$2:$P$198,MATCH(B13,'01_전체 케이스'!$D$2:$D$198,0))),"")</f>
        <v/>
      </c>
      <c r="I13" s="43" t="str">
        <f>IFERROR(IF(INDEX('01_전체 케이스'!$T$2:$T$198,MATCH(B13,'01_전체 케이스'!$D$2:$D$198,0))="","",INDEX('01_전체 케이스'!$T$2:$T$198,MATCH(B13,'01_전체 케이스'!$D$2:$D$198,0))),"")</f>
        <v/>
      </c>
      <c r="J13" s="43" t="str">
        <f>IFERROR(IF(INDEX('01_전체 케이스'!$U$2:$U$198,MATCH(B13,'01_전체 케이스'!$D$2:$D$198,0))="","",INDEX('01_전체 케이스'!$U$2:$U$198,MATCH(B13,'01_전체 케이스'!$D$2:$D$198,0))),"")</f>
        <v/>
      </c>
    </row>
    <row r="14" spans="1:10" ht="57.95" customHeight="1" x14ac:dyDescent="0.3">
      <c r="A14" s="45">
        <v>13</v>
      </c>
      <c r="B14" s="45" t="s">
        <v>508</v>
      </c>
      <c r="C14" s="43" t="s">
        <v>509</v>
      </c>
      <c r="D14" s="43" t="s">
        <v>510</v>
      </c>
      <c r="E14" s="43" t="s">
        <v>511</v>
      </c>
      <c r="F14" s="44" t="str">
        <f>IFERROR(INDEX('01_전체 케이스'!$I$2:$I$198,MATCH(B14,'01_전체 케이스'!$D$2:$D$198,0)),"미실행")</f>
        <v>미실행</v>
      </c>
      <c r="G14" s="43" t="str">
        <f>IFERROR(IF(INDEX('01_전체 케이스'!$L$2:$L$198,MATCH(B14,'01_전체 케이스'!$D$2:$D$198,0))="","",INDEX('01_전체 케이스'!$L$2:$L$198,MATCH(B14,'01_전체 케이스'!$D$2:$D$198,0))),"")</f>
        <v/>
      </c>
      <c r="H14" s="43" t="str">
        <f>IFERROR(IF(INDEX('01_전체 케이스'!$P$2:$P$198,MATCH(B14,'01_전체 케이스'!$D$2:$D$198,0))="","",INDEX('01_전체 케이스'!$P$2:$P$198,MATCH(B14,'01_전체 케이스'!$D$2:$D$198,0))),"")</f>
        <v/>
      </c>
      <c r="I14" s="43" t="str">
        <f>IFERROR(IF(INDEX('01_전체 케이스'!$T$2:$T$198,MATCH(B14,'01_전체 케이스'!$D$2:$D$198,0))="","",INDEX('01_전체 케이스'!$T$2:$T$198,MATCH(B14,'01_전체 케이스'!$D$2:$D$198,0))),"")</f>
        <v/>
      </c>
      <c r="J14" s="43" t="str">
        <f>IFERROR(IF(INDEX('01_전체 케이스'!$U$2:$U$198,MATCH(B14,'01_전체 케이스'!$D$2:$D$198,0))="","",INDEX('01_전체 케이스'!$U$2:$U$198,MATCH(B14,'01_전체 케이스'!$D$2:$D$198,0))),"")</f>
        <v/>
      </c>
    </row>
    <row r="15" spans="1:10" ht="57.95" customHeight="1" x14ac:dyDescent="0.3">
      <c r="A15" s="45">
        <v>14</v>
      </c>
      <c r="B15" s="45" t="s">
        <v>512</v>
      </c>
      <c r="C15" s="43" t="s">
        <v>513</v>
      </c>
      <c r="D15" s="43" t="s">
        <v>514</v>
      </c>
      <c r="E15" s="43" t="s">
        <v>515</v>
      </c>
      <c r="F15" s="44" t="str">
        <f>IFERROR(INDEX('01_전체 케이스'!$I$2:$I$198,MATCH(B15,'01_전체 케이스'!$D$2:$D$198,0)),"미실행")</f>
        <v>미실행</v>
      </c>
      <c r="G15" s="43" t="str">
        <f>IFERROR(IF(INDEX('01_전체 케이스'!$L$2:$L$198,MATCH(B15,'01_전체 케이스'!$D$2:$D$198,0))="","",INDEX('01_전체 케이스'!$L$2:$L$198,MATCH(B15,'01_전체 케이스'!$D$2:$D$198,0))),"")</f>
        <v/>
      </c>
      <c r="H15" s="43" t="str">
        <f>IFERROR(IF(INDEX('01_전체 케이스'!$P$2:$P$198,MATCH(B15,'01_전체 케이스'!$D$2:$D$198,0))="","",INDEX('01_전체 케이스'!$P$2:$P$198,MATCH(B15,'01_전체 케이스'!$D$2:$D$198,0))),"")</f>
        <v/>
      </c>
      <c r="I15" s="43" t="str">
        <f>IFERROR(IF(INDEX('01_전체 케이스'!$T$2:$T$198,MATCH(B15,'01_전체 케이스'!$D$2:$D$198,0))="","",INDEX('01_전체 케이스'!$T$2:$T$198,MATCH(B15,'01_전체 케이스'!$D$2:$D$198,0))),"")</f>
        <v/>
      </c>
      <c r="J15" s="43" t="str">
        <f>IFERROR(IF(INDEX('01_전체 케이스'!$U$2:$U$198,MATCH(B15,'01_전체 케이스'!$D$2:$D$198,0))="","",INDEX('01_전체 케이스'!$U$2:$U$198,MATCH(B15,'01_전체 케이스'!$D$2:$D$198,0))),"")</f>
        <v/>
      </c>
    </row>
    <row r="16" spans="1:10" ht="57.95" customHeight="1" x14ac:dyDescent="0.3">
      <c r="A16" s="45">
        <v>15</v>
      </c>
      <c r="B16" s="45" t="s">
        <v>516</v>
      </c>
      <c r="C16" s="43" t="s">
        <v>517</v>
      </c>
      <c r="D16" s="43" t="s">
        <v>518</v>
      </c>
      <c r="E16" s="43" t="s">
        <v>519</v>
      </c>
      <c r="F16" s="44" t="str">
        <f>IFERROR(INDEX('01_전체 케이스'!$I$2:$I$198,MATCH(B16,'01_전체 케이스'!$D$2:$D$198,0)),"미실행")</f>
        <v>미실행</v>
      </c>
      <c r="G16" s="43" t="str">
        <f>IFERROR(IF(INDEX('01_전체 케이스'!$L$2:$L$198,MATCH(B16,'01_전체 케이스'!$D$2:$D$198,0))="","",INDEX('01_전체 케이스'!$L$2:$L$198,MATCH(B16,'01_전체 케이스'!$D$2:$D$198,0))),"")</f>
        <v/>
      </c>
      <c r="H16" s="43" t="str">
        <f>IFERROR(IF(INDEX('01_전체 케이스'!$P$2:$P$198,MATCH(B16,'01_전체 케이스'!$D$2:$D$198,0))="","",INDEX('01_전체 케이스'!$P$2:$P$198,MATCH(B16,'01_전체 케이스'!$D$2:$D$198,0))),"")</f>
        <v/>
      </c>
      <c r="I16" s="43" t="str">
        <f>IFERROR(IF(INDEX('01_전체 케이스'!$T$2:$T$198,MATCH(B16,'01_전체 케이스'!$D$2:$D$198,0))="","",INDEX('01_전체 케이스'!$T$2:$T$198,MATCH(B16,'01_전체 케이스'!$D$2:$D$198,0))),"")</f>
        <v/>
      </c>
      <c r="J16" s="43" t="str">
        <f>IFERROR(IF(INDEX('01_전체 케이스'!$U$2:$U$198,MATCH(B16,'01_전체 케이스'!$D$2:$D$198,0))="","",INDEX('01_전체 케이스'!$U$2:$U$198,MATCH(B16,'01_전체 케이스'!$D$2:$D$198,0))),"")</f>
        <v/>
      </c>
    </row>
  </sheetData>
  <phoneticPr fontId="1" type="noConversion"/>
  <conditionalFormatting sqref="F2:F16">
    <cfRule type="expression" dxfId="15" priority="1">
      <formula>F2="PASS"</formula>
    </cfRule>
  </conditionalFormatting>
  <conditionalFormatting sqref="F2:F16">
    <cfRule type="expression" dxfId="14" priority="2">
      <formula>F2="FAIL"</formula>
    </cfRule>
  </conditionalFormatting>
  <conditionalFormatting sqref="F2:F16">
    <cfRule type="expression" dxfId="13" priority="3">
      <formula>F2="보류"</formula>
    </cfRule>
  </conditionalFormatting>
  <conditionalFormatting sqref="F2:F16">
    <cfRule type="expression" dxfId="12" priority="4">
      <formula>F2="미실행"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8559-1093-4117-A39B-300FF0BB2240}">
  <sheetPr>
    <tabColor rgb="FFDC2626"/>
  </sheetPr>
  <dimension ref="A1:O51"/>
  <sheetViews>
    <sheetView showGridLines="0" workbookViewId="0">
      <pane ySplit="1" topLeftCell="A2" activePane="bottomLeft" state="frozen"/>
      <selection pane="bottomLeft" activeCell="F19" sqref="F19"/>
    </sheetView>
  </sheetViews>
  <sheetFormatPr defaultRowHeight="16.5" x14ac:dyDescent="0.3"/>
  <cols>
    <col min="1" max="1" width="14.125" customWidth="1"/>
    <col min="2" max="2" width="16.625" customWidth="1"/>
    <col min="3" max="3" width="11.625" customWidth="1"/>
    <col min="4" max="4" width="16.625" customWidth="1"/>
    <col min="5" max="5" width="30" customWidth="1"/>
    <col min="6" max="7" width="40" customWidth="1"/>
    <col min="8" max="9" width="36.625" customWidth="1"/>
    <col min="10" max="10" width="16.625" customWidth="1"/>
    <col min="11" max="12" width="18.375" customWidth="1"/>
    <col min="13" max="13" width="11.625" customWidth="1"/>
    <col min="14" max="14" width="26.625" customWidth="1"/>
    <col min="15" max="15" width="28.375" customWidth="1"/>
  </cols>
  <sheetData>
    <row r="1" spans="1:15" ht="27.95" customHeight="1" x14ac:dyDescent="0.3">
      <c r="A1" s="46" t="s">
        <v>15</v>
      </c>
      <c r="B1" s="46" t="s">
        <v>3</v>
      </c>
      <c r="C1" s="46" t="s">
        <v>2</v>
      </c>
      <c r="D1" s="46" t="s">
        <v>717</v>
      </c>
      <c r="E1" s="46" t="s">
        <v>8</v>
      </c>
      <c r="F1" s="46" t="s">
        <v>718</v>
      </c>
      <c r="G1" s="46" t="s">
        <v>719</v>
      </c>
      <c r="H1" s="46" t="s">
        <v>16</v>
      </c>
      <c r="I1" s="46" t="s">
        <v>720</v>
      </c>
      <c r="J1" s="46" t="s">
        <v>18</v>
      </c>
      <c r="K1" s="46" t="s">
        <v>721</v>
      </c>
      <c r="L1" s="46" t="s">
        <v>20</v>
      </c>
      <c r="M1" s="46" t="s">
        <v>722</v>
      </c>
      <c r="N1" s="46" t="s">
        <v>723</v>
      </c>
      <c r="O1" s="46" t="s">
        <v>724</v>
      </c>
    </row>
    <row r="2" spans="1:15" ht="44.1" customHeight="1" x14ac:dyDescent="0.3">
      <c r="A2" s="44"/>
      <c r="B2" s="44"/>
      <c r="C2" s="44"/>
      <c r="D2" s="44"/>
      <c r="E2" s="43"/>
      <c r="F2" s="43"/>
      <c r="G2" s="43"/>
      <c r="H2" s="43"/>
      <c r="I2" s="43"/>
      <c r="J2" s="43"/>
      <c r="K2" s="44"/>
      <c r="L2" s="44"/>
      <c r="M2" s="44"/>
      <c r="N2" s="43"/>
      <c r="O2" s="43"/>
    </row>
    <row r="3" spans="1:15" ht="44.1" customHeight="1" x14ac:dyDescent="0.3">
      <c r="A3" s="44"/>
      <c r="B3" s="44"/>
      <c r="C3" s="44"/>
      <c r="D3" s="44"/>
      <c r="E3" s="43"/>
      <c r="F3" s="43"/>
      <c r="G3" s="43"/>
      <c r="H3" s="43"/>
      <c r="I3" s="43"/>
      <c r="J3" s="43"/>
      <c r="K3" s="44"/>
      <c r="L3" s="44"/>
      <c r="M3" s="44"/>
      <c r="N3" s="43"/>
      <c r="O3" s="43"/>
    </row>
    <row r="4" spans="1:15" ht="44.1" customHeight="1" x14ac:dyDescent="0.3">
      <c r="A4" s="44"/>
      <c r="B4" s="44"/>
      <c r="C4" s="44"/>
      <c r="D4" s="44"/>
      <c r="E4" s="43"/>
      <c r="F4" s="43"/>
      <c r="G4" s="43"/>
      <c r="H4" s="43"/>
      <c r="I4" s="43"/>
      <c r="J4" s="43"/>
      <c r="K4" s="44"/>
      <c r="L4" s="44"/>
      <c r="M4" s="44"/>
      <c r="N4" s="43"/>
      <c r="O4" s="43"/>
    </row>
    <row r="5" spans="1:15" ht="44.1" customHeight="1" x14ac:dyDescent="0.3">
      <c r="A5" s="44"/>
      <c r="B5" s="44"/>
      <c r="C5" s="44"/>
      <c r="D5" s="44"/>
      <c r="E5" s="43"/>
      <c r="F5" s="43"/>
      <c r="G5" s="43"/>
      <c r="H5" s="43"/>
      <c r="I5" s="43"/>
      <c r="J5" s="43"/>
      <c r="K5" s="44"/>
      <c r="L5" s="44"/>
      <c r="M5" s="44"/>
      <c r="N5" s="43"/>
      <c r="O5" s="43"/>
    </row>
    <row r="6" spans="1:15" ht="44.1" customHeight="1" x14ac:dyDescent="0.3">
      <c r="A6" s="44"/>
      <c r="B6" s="44"/>
      <c r="C6" s="44"/>
      <c r="D6" s="44"/>
      <c r="E6" s="43"/>
      <c r="F6" s="43"/>
      <c r="G6" s="43"/>
      <c r="H6" s="43"/>
      <c r="I6" s="43"/>
      <c r="J6" s="43"/>
      <c r="K6" s="44"/>
      <c r="L6" s="44"/>
      <c r="M6" s="44"/>
      <c r="N6" s="43"/>
      <c r="O6" s="43"/>
    </row>
    <row r="7" spans="1:15" ht="44.1" customHeight="1" x14ac:dyDescent="0.3">
      <c r="A7" s="44"/>
      <c r="B7" s="44"/>
      <c r="C7" s="44"/>
      <c r="D7" s="44"/>
      <c r="E7" s="43"/>
      <c r="F7" s="43"/>
      <c r="G7" s="43"/>
      <c r="H7" s="43"/>
      <c r="I7" s="43"/>
      <c r="J7" s="43"/>
      <c r="K7" s="44"/>
      <c r="L7" s="44"/>
      <c r="M7" s="44"/>
      <c r="N7" s="43"/>
      <c r="O7" s="43"/>
    </row>
    <row r="8" spans="1:15" ht="44.1" customHeight="1" x14ac:dyDescent="0.3">
      <c r="A8" s="44"/>
      <c r="B8" s="44"/>
      <c r="C8" s="44"/>
      <c r="D8" s="44"/>
      <c r="E8" s="43"/>
      <c r="F8" s="43"/>
      <c r="G8" s="43"/>
      <c r="H8" s="43"/>
      <c r="I8" s="43"/>
      <c r="J8" s="43"/>
      <c r="K8" s="44"/>
      <c r="L8" s="44"/>
      <c r="M8" s="44"/>
      <c r="N8" s="43"/>
      <c r="O8" s="43"/>
    </row>
    <row r="9" spans="1:15" ht="44.1" customHeight="1" x14ac:dyDescent="0.3">
      <c r="A9" s="44"/>
      <c r="B9" s="44"/>
      <c r="C9" s="44"/>
      <c r="D9" s="44"/>
      <c r="E9" s="43"/>
      <c r="F9" s="43"/>
      <c r="G9" s="43"/>
      <c r="H9" s="43"/>
      <c r="I9" s="43"/>
      <c r="J9" s="43"/>
      <c r="K9" s="44"/>
      <c r="L9" s="44"/>
      <c r="M9" s="44"/>
      <c r="N9" s="43"/>
      <c r="O9" s="43"/>
    </row>
    <row r="10" spans="1:15" ht="44.1" customHeight="1" x14ac:dyDescent="0.3">
      <c r="A10" s="44"/>
      <c r="B10" s="44"/>
      <c r="C10" s="44"/>
      <c r="D10" s="44"/>
      <c r="E10" s="43"/>
      <c r="F10" s="43"/>
      <c r="G10" s="43"/>
      <c r="H10" s="43"/>
      <c r="I10" s="43"/>
      <c r="J10" s="43"/>
      <c r="K10" s="44"/>
      <c r="L10" s="44"/>
      <c r="M10" s="44"/>
      <c r="N10" s="43"/>
      <c r="O10" s="43"/>
    </row>
    <row r="11" spans="1:15" ht="44.1" customHeight="1" x14ac:dyDescent="0.3">
      <c r="A11" s="44"/>
      <c r="B11" s="44"/>
      <c r="C11" s="44"/>
      <c r="D11" s="44"/>
      <c r="E11" s="43"/>
      <c r="F11" s="43"/>
      <c r="G11" s="43"/>
      <c r="H11" s="43"/>
      <c r="I11" s="43"/>
      <c r="J11" s="43"/>
      <c r="K11" s="44"/>
      <c r="L11" s="44"/>
      <c r="M11" s="44"/>
      <c r="N11" s="43"/>
      <c r="O11" s="43"/>
    </row>
    <row r="12" spans="1:15" ht="44.1" customHeight="1" x14ac:dyDescent="0.3">
      <c r="A12" s="44"/>
      <c r="B12" s="44"/>
      <c r="C12" s="44"/>
      <c r="D12" s="44"/>
      <c r="E12" s="43"/>
      <c r="F12" s="43"/>
      <c r="G12" s="43"/>
      <c r="H12" s="43"/>
      <c r="I12" s="43"/>
      <c r="J12" s="43"/>
      <c r="K12" s="44"/>
      <c r="L12" s="44"/>
      <c r="M12" s="44"/>
      <c r="N12" s="43"/>
      <c r="O12" s="43"/>
    </row>
    <row r="13" spans="1:15" ht="44.1" customHeight="1" x14ac:dyDescent="0.3">
      <c r="A13" s="44"/>
      <c r="B13" s="44"/>
      <c r="C13" s="44"/>
      <c r="D13" s="44"/>
      <c r="E13" s="43"/>
      <c r="F13" s="43"/>
      <c r="G13" s="43"/>
      <c r="H13" s="43"/>
      <c r="I13" s="43"/>
      <c r="J13" s="43"/>
      <c r="K13" s="44"/>
      <c r="L13" s="44"/>
      <c r="M13" s="44"/>
      <c r="N13" s="43"/>
      <c r="O13" s="43"/>
    </row>
    <row r="14" spans="1:15" ht="44.1" customHeight="1" x14ac:dyDescent="0.3">
      <c r="A14" s="44"/>
      <c r="B14" s="44"/>
      <c r="C14" s="44"/>
      <c r="D14" s="44"/>
      <c r="E14" s="43"/>
      <c r="F14" s="43"/>
      <c r="G14" s="43"/>
      <c r="H14" s="43"/>
      <c r="I14" s="43"/>
      <c r="J14" s="43"/>
      <c r="K14" s="44"/>
      <c r="L14" s="44"/>
      <c r="M14" s="44"/>
      <c r="N14" s="43"/>
      <c r="O14" s="43"/>
    </row>
    <row r="15" spans="1:15" ht="44.1" customHeight="1" x14ac:dyDescent="0.3">
      <c r="A15" s="44"/>
      <c r="B15" s="44"/>
      <c r="C15" s="44"/>
      <c r="D15" s="44"/>
      <c r="E15" s="43"/>
      <c r="F15" s="43"/>
      <c r="G15" s="43"/>
      <c r="H15" s="43"/>
      <c r="I15" s="43"/>
      <c r="J15" s="43"/>
      <c r="K15" s="44"/>
      <c r="L15" s="44"/>
      <c r="M15" s="44"/>
      <c r="N15" s="43"/>
      <c r="O15" s="43"/>
    </row>
    <row r="16" spans="1:15" ht="44.1" customHeight="1" x14ac:dyDescent="0.3">
      <c r="A16" s="44"/>
      <c r="B16" s="44"/>
      <c r="C16" s="44"/>
      <c r="D16" s="44"/>
      <c r="E16" s="43"/>
      <c r="F16" s="43"/>
      <c r="G16" s="43"/>
      <c r="H16" s="43"/>
      <c r="I16" s="43"/>
      <c r="J16" s="43"/>
      <c r="K16" s="44"/>
      <c r="L16" s="44"/>
      <c r="M16" s="44"/>
      <c r="N16" s="43"/>
      <c r="O16" s="43"/>
    </row>
    <row r="17" spans="1:15" ht="44.1" customHeight="1" x14ac:dyDescent="0.3">
      <c r="A17" s="44"/>
      <c r="B17" s="44"/>
      <c r="C17" s="44"/>
      <c r="D17" s="44"/>
      <c r="E17" s="43"/>
      <c r="F17" s="43"/>
      <c r="G17" s="43"/>
      <c r="H17" s="43"/>
      <c r="I17" s="43"/>
      <c r="J17" s="43"/>
      <c r="K17" s="44"/>
      <c r="L17" s="44"/>
      <c r="M17" s="44"/>
      <c r="N17" s="43"/>
      <c r="O17" s="43"/>
    </row>
    <row r="18" spans="1:15" ht="44.1" customHeight="1" x14ac:dyDescent="0.3">
      <c r="A18" s="44"/>
      <c r="B18" s="44"/>
      <c r="C18" s="44"/>
      <c r="D18" s="44"/>
      <c r="E18" s="43"/>
      <c r="F18" s="43"/>
      <c r="G18" s="43"/>
      <c r="H18" s="43"/>
      <c r="I18" s="43"/>
      <c r="J18" s="43"/>
      <c r="K18" s="44"/>
      <c r="L18" s="44"/>
      <c r="M18" s="44"/>
      <c r="N18" s="43"/>
      <c r="O18" s="43"/>
    </row>
    <row r="19" spans="1:15" ht="44.1" customHeight="1" x14ac:dyDescent="0.3">
      <c r="A19" s="44"/>
      <c r="B19" s="44"/>
      <c r="C19" s="44"/>
      <c r="D19" s="44"/>
      <c r="E19" s="43"/>
      <c r="F19" s="43"/>
      <c r="G19" s="43"/>
      <c r="H19" s="43"/>
      <c r="I19" s="43"/>
      <c r="J19" s="43"/>
      <c r="K19" s="44"/>
      <c r="L19" s="44"/>
      <c r="M19" s="44"/>
      <c r="N19" s="43"/>
      <c r="O19" s="43"/>
    </row>
    <row r="20" spans="1:15" ht="44.1" customHeight="1" x14ac:dyDescent="0.3">
      <c r="A20" s="44"/>
      <c r="B20" s="44"/>
      <c r="C20" s="44"/>
      <c r="D20" s="44"/>
      <c r="E20" s="43"/>
      <c r="F20" s="43"/>
      <c r="G20" s="43"/>
      <c r="H20" s="43"/>
      <c r="I20" s="43"/>
      <c r="J20" s="43"/>
      <c r="K20" s="44"/>
      <c r="L20" s="44"/>
      <c r="M20" s="44"/>
      <c r="N20" s="43"/>
      <c r="O20" s="43"/>
    </row>
    <row r="21" spans="1:15" ht="44.1" customHeight="1" x14ac:dyDescent="0.3">
      <c r="A21" s="44"/>
      <c r="B21" s="44"/>
      <c r="C21" s="44"/>
      <c r="D21" s="44"/>
      <c r="E21" s="43"/>
      <c r="F21" s="43"/>
      <c r="G21" s="43"/>
      <c r="H21" s="43"/>
      <c r="I21" s="43"/>
      <c r="J21" s="43"/>
      <c r="K21" s="44"/>
      <c r="L21" s="44"/>
      <c r="M21" s="44"/>
      <c r="N21" s="43"/>
      <c r="O21" s="43"/>
    </row>
    <row r="22" spans="1:15" ht="44.1" customHeight="1" x14ac:dyDescent="0.3">
      <c r="A22" s="44"/>
      <c r="B22" s="44"/>
      <c r="C22" s="44"/>
      <c r="D22" s="44"/>
      <c r="E22" s="43"/>
      <c r="F22" s="43"/>
      <c r="G22" s="43"/>
      <c r="H22" s="43"/>
      <c r="I22" s="43"/>
      <c r="J22" s="43"/>
      <c r="K22" s="44"/>
      <c r="L22" s="44"/>
      <c r="M22" s="44"/>
      <c r="N22" s="43"/>
      <c r="O22" s="43"/>
    </row>
    <row r="23" spans="1:15" ht="44.1" customHeight="1" x14ac:dyDescent="0.3">
      <c r="A23" s="44"/>
      <c r="B23" s="44"/>
      <c r="C23" s="44"/>
      <c r="D23" s="44"/>
      <c r="E23" s="43"/>
      <c r="F23" s="43"/>
      <c r="G23" s="43"/>
      <c r="H23" s="43"/>
      <c r="I23" s="43"/>
      <c r="J23" s="43"/>
      <c r="K23" s="44"/>
      <c r="L23" s="44"/>
      <c r="M23" s="44"/>
      <c r="N23" s="43"/>
      <c r="O23" s="43"/>
    </row>
    <row r="24" spans="1:15" ht="44.1" customHeight="1" x14ac:dyDescent="0.3">
      <c r="A24" s="44"/>
      <c r="B24" s="44"/>
      <c r="C24" s="44"/>
      <c r="D24" s="44"/>
      <c r="E24" s="43"/>
      <c r="F24" s="43"/>
      <c r="G24" s="43"/>
      <c r="H24" s="43"/>
      <c r="I24" s="43"/>
      <c r="J24" s="43"/>
      <c r="K24" s="44"/>
      <c r="L24" s="44"/>
      <c r="M24" s="44"/>
      <c r="N24" s="43"/>
      <c r="O24" s="43"/>
    </row>
    <row r="25" spans="1:15" ht="44.1" customHeight="1" x14ac:dyDescent="0.3">
      <c r="A25" s="44"/>
      <c r="B25" s="44"/>
      <c r="C25" s="44"/>
      <c r="D25" s="44"/>
      <c r="E25" s="43"/>
      <c r="F25" s="43"/>
      <c r="G25" s="43"/>
      <c r="H25" s="43"/>
      <c r="I25" s="43"/>
      <c r="J25" s="43"/>
      <c r="K25" s="44"/>
      <c r="L25" s="44"/>
      <c r="M25" s="44"/>
      <c r="N25" s="43"/>
      <c r="O25" s="43"/>
    </row>
    <row r="26" spans="1:15" ht="44.1" customHeight="1" x14ac:dyDescent="0.3">
      <c r="A26" s="44"/>
      <c r="B26" s="44"/>
      <c r="C26" s="44"/>
      <c r="D26" s="44"/>
      <c r="E26" s="43"/>
      <c r="F26" s="43"/>
      <c r="G26" s="43"/>
      <c r="H26" s="43"/>
      <c r="I26" s="43"/>
      <c r="J26" s="43"/>
      <c r="K26" s="44"/>
      <c r="L26" s="44"/>
      <c r="M26" s="44"/>
      <c r="N26" s="43"/>
      <c r="O26" s="43"/>
    </row>
    <row r="27" spans="1:15" ht="44.1" customHeight="1" x14ac:dyDescent="0.3">
      <c r="A27" s="44"/>
      <c r="B27" s="44"/>
      <c r="C27" s="44"/>
      <c r="D27" s="44"/>
      <c r="E27" s="43"/>
      <c r="F27" s="43"/>
      <c r="G27" s="43"/>
      <c r="H27" s="43"/>
      <c r="I27" s="43"/>
      <c r="J27" s="43"/>
      <c r="K27" s="44"/>
      <c r="L27" s="44"/>
      <c r="M27" s="44"/>
      <c r="N27" s="43"/>
      <c r="O27" s="43"/>
    </row>
    <row r="28" spans="1:15" ht="44.1" customHeight="1" x14ac:dyDescent="0.3">
      <c r="A28" s="44"/>
      <c r="B28" s="44"/>
      <c r="C28" s="44"/>
      <c r="D28" s="44"/>
      <c r="E28" s="43"/>
      <c r="F28" s="43"/>
      <c r="G28" s="43"/>
      <c r="H28" s="43"/>
      <c r="I28" s="43"/>
      <c r="J28" s="43"/>
      <c r="K28" s="44"/>
      <c r="L28" s="44"/>
      <c r="M28" s="44"/>
      <c r="N28" s="43"/>
      <c r="O28" s="43"/>
    </row>
    <row r="29" spans="1:15" ht="44.1" customHeight="1" x14ac:dyDescent="0.3">
      <c r="A29" s="44"/>
      <c r="B29" s="44"/>
      <c r="C29" s="44"/>
      <c r="D29" s="44"/>
      <c r="E29" s="43"/>
      <c r="F29" s="43"/>
      <c r="G29" s="43"/>
      <c r="H29" s="43"/>
      <c r="I29" s="43"/>
      <c r="J29" s="43"/>
      <c r="K29" s="44"/>
      <c r="L29" s="44"/>
      <c r="M29" s="44"/>
      <c r="N29" s="43"/>
      <c r="O29" s="43"/>
    </row>
    <row r="30" spans="1:15" ht="44.1" customHeight="1" x14ac:dyDescent="0.3">
      <c r="A30" s="44"/>
      <c r="B30" s="44"/>
      <c r="C30" s="44"/>
      <c r="D30" s="44"/>
      <c r="E30" s="43"/>
      <c r="F30" s="43"/>
      <c r="G30" s="43"/>
      <c r="H30" s="43"/>
      <c r="I30" s="43"/>
      <c r="J30" s="43"/>
      <c r="K30" s="44"/>
      <c r="L30" s="44"/>
      <c r="M30" s="44"/>
      <c r="N30" s="43"/>
      <c r="O30" s="43"/>
    </row>
    <row r="31" spans="1:15" ht="44.1" customHeight="1" x14ac:dyDescent="0.3">
      <c r="A31" s="44"/>
      <c r="B31" s="44"/>
      <c r="C31" s="44"/>
      <c r="D31" s="44"/>
      <c r="E31" s="43"/>
      <c r="F31" s="43"/>
      <c r="G31" s="43"/>
      <c r="H31" s="43"/>
      <c r="I31" s="43"/>
      <c r="J31" s="43"/>
      <c r="K31" s="44"/>
      <c r="L31" s="44"/>
      <c r="M31" s="44"/>
      <c r="N31" s="43"/>
      <c r="O31" s="43"/>
    </row>
    <row r="32" spans="1:15" ht="44.1" customHeight="1" x14ac:dyDescent="0.3">
      <c r="A32" s="44"/>
      <c r="B32" s="44"/>
      <c r="C32" s="44"/>
      <c r="D32" s="44"/>
      <c r="E32" s="43"/>
      <c r="F32" s="43"/>
      <c r="G32" s="43"/>
      <c r="H32" s="43"/>
      <c r="I32" s="43"/>
      <c r="J32" s="43"/>
      <c r="K32" s="44"/>
      <c r="L32" s="44"/>
      <c r="M32" s="44"/>
      <c r="N32" s="43"/>
      <c r="O32" s="43"/>
    </row>
    <row r="33" spans="1:15" ht="44.1" customHeight="1" x14ac:dyDescent="0.3">
      <c r="A33" s="44"/>
      <c r="B33" s="44"/>
      <c r="C33" s="44"/>
      <c r="D33" s="44"/>
      <c r="E33" s="43"/>
      <c r="F33" s="43"/>
      <c r="G33" s="43"/>
      <c r="H33" s="43"/>
      <c r="I33" s="43"/>
      <c r="J33" s="43"/>
      <c r="K33" s="44"/>
      <c r="L33" s="44"/>
      <c r="M33" s="44"/>
      <c r="N33" s="43"/>
      <c r="O33" s="43"/>
    </row>
    <row r="34" spans="1:15" ht="44.1" customHeight="1" x14ac:dyDescent="0.3">
      <c r="A34" s="44"/>
      <c r="B34" s="44"/>
      <c r="C34" s="44"/>
      <c r="D34" s="44"/>
      <c r="E34" s="43"/>
      <c r="F34" s="43"/>
      <c r="G34" s="43"/>
      <c r="H34" s="43"/>
      <c r="I34" s="43"/>
      <c r="J34" s="43"/>
      <c r="K34" s="44"/>
      <c r="L34" s="44"/>
      <c r="M34" s="44"/>
      <c r="N34" s="43"/>
      <c r="O34" s="43"/>
    </row>
    <row r="35" spans="1:15" ht="44.1" customHeight="1" x14ac:dyDescent="0.3">
      <c r="A35" s="44"/>
      <c r="B35" s="44"/>
      <c r="C35" s="44"/>
      <c r="D35" s="44"/>
      <c r="E35" s="43"/>
      <c r="F35" s="43"/>
      <c r="G35" s="43"/>
      <c r="H35" s="43"/>
      <c r="I35" s="43"/>
      <c r="J35" s="43"/>
      <c r="K35" s="44"/>
      <c r="L35" s="44"/>
      <c r="M35" s="44"/>
      <c r="N35" s="43"/>
      <c r="O35" s="43"/>
    </row>
    <row r="36" spans="1:15" ht="44.1" customHeight="1" x14ac:dyDescent="0.3">
      <c r="A36" s="44"/>
      <c r="B36" s="44"/>
      <c r="C36" s="44"/>
      <c r="D36" s="44"/>
      <c r="E36" s="43"/>
      <c r="F36" s="43"/>
      <c r="G36" s="43"/>
      <c r="H36" s="43"/>
      <c r="I36" s="43"/>
      <c r="J36" s="43"/>
      <c r="K36" s="44"/>
      <c r="L36" s="44"/>
      <c r="M36" s="44"/>
      <c r="N36" s="43"/>
      <c r="O36" s="43"/>
    </row>
    <row r="37" spans="1:15" ht="44.1" customHeight="1" x14ac:dyDescent="0.3">
      <c r="A37" s="44"/>
      <c r="B37" s="44"/>
      <c r="C37" s="44"/>
      <c r="D37" s="44"/>
      <c r="E37" s="43"/>
      <c r="F37" s="43"/>
      <c r="G37" s="43"/>
      <c r="H37" s="43"/>
      <c r="I37" s="43"/>
      <c r="J37" s="43"/>
      <c r="K37" s="44"/>
      <c r="L37" s="44"/>
      <c r="M37" s="44"/>
      <c r="N37" s="43"/>
      <c r="O37" s="43"/>
    </row>
    <row r="38" spans="1:15" ht="44.1" customHeight="1" x14ac:dyDescent="0.3">
      <c r="A38" s="44"/>
      <c r="B38" s="44"/>
      <c r="C38" s="44"/>
      <c r="D38" s="44"/>
      <c r="E38" s="43"/>
      <c r="F38" s="43"/>
      <c r="G38" s="43"/>
      <c r="H38" s="43"/>
      <c r="I38" s="43"/>
      <c r="J38" s="43"/>
      <c r="K38" s="44"/>
      <c r="L38" s="44"/>
      <c r="M38" s="44"/>
      <c r="N38" s="43"/>
      <c r="O38" s="43"/>
    </row>
    <row r="39" spans="1:15" ht="44.1" customHeight="1" x14ac:dyDescent="0.3">
      <c r="A39" s="44"/>
      <c r="B39" s="44"/>
      <c r="C39" s="44"/>
      <c r="D39" s="44"/>
      <c r="E39" s="43"/>
      <c r="F39" s="43"/>
      <c r="G39" s="43"/>
      <c r="H39" s="43"/>
      <c r="I39" s="43"/>
      <c r="J39" s="43"/>
      <c r="K39" s="44"/>
      <c r="L39" s="44"/>
      <c r="M39" s="44"/>
      <c r="N39" s="43"/>
      <c r="O39" s="43"/>
    </row>
    <row r="40" spans="1:15" ht="44.1" customHeight="1" x14ac:dyDescent="0.3">
      <c r="A40" s="44"/>
      <c r="B40" s="44"/>
      <c r="C40" s="44"/>
      <c r="D40" s="44"/>
      <c r="E40" s="43"/>
      <c r="F40" s="43"/>
      <c r="G40" s="43"/>
      <c r="H40" s="43"/>
      <c r="I40" s="43"/>
      <c r="J40" s="43"/>
      <c r="K40" s="44"/>
      <c r="L40" s="44"/>
      <c r="M40" s="44"/>
      <c r="N40" s="43"/>
      <c r="O40" s="43"/>
    </row>
    <row r="41" spans="1:15" ht="44.1" customHeight="1" x14ac:dyDescent="0.3">
      <c r="A41" s="44"/>
      <c r="B41" s="44"/>
      <c r="C41" s="44"/>
      <c r="D41" s="44"/>
      <c r="E41" s="43"/>
      <c r="F41" s="43"/>
      <c r="G41" s="43"/>
      <c r="H41" s="43"/>
      <c r="I41" s="43"/>
      <c r="J41" s="43"/>
      <c r="K41" s="44"/>
      <c r="L41" s="44"/>
      <c r="M41" s="44"/>
      <c r="N41" s="43"/>
      <c r="O41" s="43"/>
    </row>
    <row r="42" spans="1:15" ht="44.1" customHeight="1" x14ac:dyDescent="0.3">
      <c r="A42" s="44"/>
      <c r="B42" s="44"/>
      <c r="C42" s="44"/>
      <c r="D42" s="44"/>
      <c r="E42" s="43"/>
      <c r="F42" s="43"/>
      <c r="G42" s="43"/>
      <c r="H42" s="43"/>
      <c r="I42" s="43"/>
      <c r="J42" s="43"/>
      <c r="K42" s="44"/>
      <c r="L42" s="44"/>
      <c r="M42" s="44"/>
      <c r="N42" s="43"/>
      <c r="O42" s="43"/>
    </row>
    <row r="43" spans="1:15" ht="44.1" customHeight="1" x14ac:dyDescent="0.3">
      <c r="A43" s="44"/>
      <c r="B43" s="44"/>
      <c r="C43" s="44"/>
      <c r="D43" s="44"/>
      <c r="E43" s="43"/>
      <c r="F43" s="43"/>
      <c r="G43" s="43"/>
      <c r="H43" s="43"/>
      <c r="I43" s="43"/>
      <c r="J43" s="43"/>
      <c r="K43" s="44"/>
      <c r="L43" s="44"/>
      <c r="M43" s="44"/>
      <c r="N43" s="43"/>
      <c r="O43" s="43"/>
    </row>
    <row r="44" spans="1:15" ht="44.1" customHeight="1" x14ac:dyDescent="0.3">
      <c r="A44" s="44"/>
      <c r="B44" s="44"/>
      <c r="C44" s="44"/>
      <c r="D44" s="44"/>
      <c r="E44" s="43"/>
      <c r="F44" s="43"/>
      <c r="G44" s="43"/>
      <c r="H44" s="43"/>
      <c r="I44" s="43"/>
      <c r="J44" s="43"/>
      <c r="K44" s="44"/>
      <c r="L44" s="44"/>
      <c r="M44" s="44"/>
      <c r="N44" s="43"/>
      <c r="O44" s="43"/>
    </row>
    <row r="45" spans="1:15" ht="44.1" customHeight="1" x14ac:dyDescent="0.3">
      <c r="A45" s="44"/>
      <c r="B45" s="44"/>
      <c r="C45" s="44"/>
      <c r="D45" s="44"/>
      <c r="E45" s="43"/>
      <c r="F45" s="43"/>
      <c r="G45" s="43"/>
      <c r="H45" s="43"/>
      <c r="I45" s="43"/>
      <c r="J45" s="43"/>
      <c r="K45" s="44"/>
      <c r="L45" s="44"/>
      <c r="M45" s="44"/>
      <c r="N45" s="43"/>
      <c r="O45" s="43"/>
    </row>
    <row r="46" spans="1:15" ht="44.1" customHeight="1" x14ac:dyDescent="0.3">
      <c r="A46" s="44"/>
      <c r="B46" s="44"/>
      <c r="C46" s="44"/>
      <c r="D46" s="44"/>
      <c r="E46" s="43"/>
      <c r="F46" s="43"/>
      <c r="G46" s="43"/>
      <c r="H46" s="43"/>
      <c r="I46" s="43"/>
      <c r="J46" s="43"/>
      <c r="K46" s="44"/>
      <c r="L46" s="44"/>
      <c r="M46" s="44"/>
      <c r="N46" s="43"/>
      <c r="O46" s="43"/>
    </row>
    <row r="47" spans="1:15" ht="44.1" customHeight="1" x14ac:dyDescent="0.3">
      <c r="A47" s="44"/>
      <c r="B47" s="44"/>
      <c r="C47" s="44"/>
      <c r="D47" s="44"/>
      <c r="E47" s="43"/>
      <c r="F47" s="43"/>
      <c r="G47" s="43"/>
      <c r="H47" s="43"/>
      <c r="I47" s="43"/>
      <c r="J47" s="43"/>
      <c r="K47" s="44"/>
      <c r="L47" s="44"/>
      <c r="M47" s="44"/>
      <c r="N47" s="43"/>
      <c r="O47" s="43"/>
    </row>
    <row r="48" spans="1:15" ht="44.1" customHeight="1" x14ac:dyDescent="0.3">
      <c r="A48" s="44"/>
      <c r="B48" s="44"/>
      <c r="C48" s="44"/>
      <c r="D48" s="44"/>
      <c r="E48" s="43"/>
      <c r="F48" s="43"/>
      <c r="G48" s="43"/>
      <c r="H48" s="43"/>
      <c r="I48" s="43"/>
      <c r="J48" s="43"/>
      <c r="K48" s="44"/>
      <c r="L48" s="44"/>
      <c r="M48" s="44"/>
      <c r="N48" s="43"/>
      <c r="O48" s="43"/>
    </row>
    <row r="49" spans="1:15" ht="44.1" customHeight="1" x14ac:dyDescent="0.3">
      <c r="A49" s="44"/>
      <c r="B49" s="44"/>
      <c r="C49" s="44"/>
      <c r="D49" s="44"/>
      <c r="E49" s="43"/>
      <c r="F49" s="43"/>
      <c r="G49" s="43"/>
      <c r="H49" s="43"/>
      <c r="I49" s="43"/>
      <c r="J49" s="43"/>
      <c r="K49" s="44"/>
      <c r="L49" s="44"/>
      <c r="M49" s="44"/>
      <c r="N49" s="43"/>
      <c r="O49" s="43"/>
    </row>
    <row r="50" spans="1:15" ht="44.1" customHeight="1" x14ac:dyDescent="0.3">
      <c r="A50" s="44"/>
      <c r="B50" s="44"/>
      <c r="C50" s="44"/>
      <c r="D50" s="44"/>
      <c r="E50" s="43"/>
      <c r="F50" s="43"/>
      <c r="G50" s="43"/>
      <c r="H50" s="43"/>
      <c r="I50" s="43"/>
      <c r="J50" s="43"/>
      <c r="K50" s="44"/>
      <c r="L50" s="44"/>
      <c r="M50" s="44"/>
      <c r="N50" s="43"/>
      <c r="O50" s="43"/>
    </row>
    <row r="51" spans="1:15" ht="44.1" customHeight="1" x14ac:dyDescent="0.3">
      <c r="A51" s="44"/>
      <c r="B51" s="44"/>
      <c r="C51" s="44"/>
      <c r="D51" s="44"/>
      <c r="E51" s="43"/>
      <c r="F51" s="43"/>
      <c r="G51" s="43"/>
      <c r="H51" s="43"/>
      <c r="I51" s="43"/>
      <c r="J51" s="43"/>
      <c r="K51" s="44"/>
      <c r="L51" s="44"/>
      <c r="M51" s="44"/>
      <c r="N51" s="43"/>
      <c r="O51" s="43"/>
    </row>
  </sheetData>
  <phoneticPr fontId="1" type="noConversion"/>
  <conditionalFormatting sqref="M2:M51">
    <cfRule type="expression" dxfId="11" priority="1">
      <formula>M2="PASS"</formula>
    </cfRule>
  </conditionalFormatting>
  <conditionalFormatting sqref="M2:M51">
    <cfRule type="expression" dxfId="10" priority="2">
      <formula>M2="FAIL"</formula>
    </cfRule>
  </conditionalFormatting>
  <conditionalFormatting sqref="M2:M51">
    <cfRule type="expression" dxfId="9" priority="3">
      <formula>M2="보류"</formula>
    </cfRule>
  </conditionalFormatting>
  <conditionalFormatting sqref="M2:M51">
    <cfRule type="expression" dxfId="8" priority="4">
      <formula>M2="미실행"</formula>
    </cfRule>
  </conditionalFormatting>
  <conditionalFormatting sqref="C2:C51">
    <cfRule type="expression" dxfId="3" priority="5">
      <formula>C2="Critical"</formula>
    </cfRule>
  </conditionalFormatting>
  <conditionalFormatting sqref="C2:C51">
    <cfRule type="expression" dxfId="2" priority="6">
      <formula>C2="High"</formula>
    </cfRule>
  </conditionalFormatting>
  <conditionalFormatting sqref="C2:C51">
    <cfRule type="expression" dxfId="1" priority="7">
      <formula>C2="Medium"</formula>
    </cfRule>
  </conditionalFormatting>
  <conditionalFormatting sqref="C2:C51">
    <cfRule type="expression" dxfId="0" priority="8">
      <formula>C2="Low"</formula>
    </cfRule>
  </conditionalFormatting>
  <dataValidations count="3">
    <dataValidation type="list" allowBlank="1" showInputMessage="1" showErrorMessage="1" errorTitle="입력값 확인" error="목록에서 값을 선택하세요." sqref="C2:C51" xr:uid="{CE3823F3-FBAB-48C2-8ECC-5404EAFE938C}">
      <formula1>"Critical,High,Medium,Low"</formula1>
    </dataValidation>
    <dataValidation type="list" allowBlank="1" showInputMessage="1" showErrorMessage="1" errorTitle="입력값 확인" error="목록에서 값을 선택하세요." sqref="K2:K51" xr:uid="{5B66C722-5F32-4166-B4B1-7D3B852ED85E}">
      <formula1>"Open,수정 중,수정 완료,보류"</formula1>
    </dataValidation>
    <dataValidation type="list" allowBlank="1" showInputMessage="1" showErrorMessage="1" errorTitle="입력값 확인" error="목록에서 값을 선택하세요." sqref="M2:M51" xr:uid="{2974B18A-5A0E-4B2E-9D92-24FC86169B4B}">
      <formula1>"PASS,FAIL,보류,미실행"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88E1-3867-4769-84B9-7D1CA507DBD9}">
  <sheetPr>
    <tabColor rgb="FF0891B2"/>
  </sheetPr>
  <dimension ref="A1:J61"/>
  <sheetViews>
    <sheetView showGridLines="0" tabSelected="1" topLeftCell="E1" workbookViewId="0">
      <pane ySplit="1" topLeftCell="A2" activePane="bottomLeft" state="frozen"/>
      <selection pane="bottomLeft" sqref="A1:L1"/>
    </sheetView>
  </sheetViews>
  <sheetFormatPr defaultRowHeight="16.5" x14ac:dyDescent="0.3"/>
  <cols>
    <col min="1" max="1" width="15" customWidth="1"/>
    <col min="2" max="2" width="12.5" customWidth="1"/>
    <col min="3" max="3" width="40.875" customWidth="1"/>
    <col min="4" max="4" width="31.625" customWidth="1"/>
    <col min="5" max="5" width="25" customWidth="1"/>
    <col min="6" max="6" width="31.625" customWidth="1"/>
    <col min="7" max="7" width="20" customWidth="1"/>
    <col min="8" max="8" width="50" customWidth="1"/>
    <col min="9" max="9" width="11.625" customWidth="1"/>
    <col min="10" max="10" width="30" customWidth="1"/>
  </cols>
  <sheetData>
    <row r="1" spans="1:10" ht="27.95" customHeight="1" x14ac:dyDescent="0.3">
      <c r="A1" s="46" t="s">
        <v>725</v>
      </c>
      <c r="B1" s="46" t="s">
        <v>1</v>
      </c>
      <c r="C1" s="46" t="s">
        <v>726</v>
      </c>
      <c r="D1" s="46" t="s">
        <v>727</v>
      </c>
      <c r="E1" s="46" t="s">
        <v>728</v>
      </c>
      <c r="F1" s="46" t="s">
        <v>729</v>
      </c>
      <c r="G1" s="46" t="s">
        <v>730</v>
      </c>
      <c r="H1" s="46" t="s">
        <v>731</v>
      </c>
      <c r="I1" s="46" t="s">
        <v>8</v>
      </c>
      <c r="J1" s="46" t="s">
        <v>732</v>
      </c>
    </row>
    <row r="2" spans="1:10" ht="44.1" customHeight="1" x14ac:dyDescent="0.3">
      <c r="A2" s="44" t="s">
        <v>733</v>
      </c>
      <c r="B2" s="44" t="s">
        <v>734</v>
      </c>
      <c r="C2" s="43" t="s">
        <v>735</v>
      </c>
      <c r="D2" s="43" t="s">
        <v>736</v>
      </c>
      <c r="E2" s="43" t="s">
        <v>737</v>
      </c>
      <c r="F2" s="43" t="s">
        <v>738</v>
      </c>
      <c r="G2" s="43"/>
      <c r="H2" s="43" t="s">
        <v>739</v>
      </c>
      <c r="I2" s="44" t="s">
        <v>27</v>
      </c>
      <c r="J2" s="43"/>
    </row>
    <row r="3" spans="1:10" ht="44.1" customHeight="1" x14ac:dyDescent="0.3">
      <c r="A3" s="44" t="s">
        <v>740</v>
      </c>
      <c r="B3" s="44" t="s">
        <v>734</v>
      </c>
      <c r="C3" s="43" t="s">
        <v>741</v>
      </c>
      <c r="D3" s="43" t="s">
        <v>742</v>
      </c>
      <c r="E3" s="43" t="s">
        <v>737</v>
      </c>
      <c r="F3" s="43" t="s">
        <v>738</v>
      </c>
      <c r="G3" s="43"/>
      <c r="H3" s="43" t="s">
        <v>743</v>
      </c>
      <c r="I3" s="44" t="s">
        <v>27</v>
      </c>
      <c r="J3" s="43"/>
    </row>
    <row r="4" spans="1:10" ht="44.1" customHeight="1" x14ac:dyDescent="0.3">
      <c r="A4" s="44" t="s">
        <v>744</v>
      </c>
      <c r="B4" s="44" t="s">
        <v>734</v>
      </c>
      <c r="C4" s="43" t="s">
        <v>745</v>
      </c>
      <c r="D4" s="43" t="s">
        <v>746</v>
      </c>
      <c r="E4" s="43" t="s">
        <v>747</v>
      </c>
      <c r="F4" s="43" t="s">
        <v>748</v>
      </c>
      <c r="G4" s="43" t="s">
        <v>749</v>
      </c>
      <c r="H4" s="43" t="s">
        <v>750</v>
      </c>
      <c r="I4" s="44" t="s">
        <v>27</v>
      </c>
      <c r="J4" s="43"/>
    </row>
    <row r="5" spans="1:10" ht="44.1" customHeight="1" x14ac:dyDescent="0.3">
      <c r="A5" s="44" t="s">
        <v>751</v>
      </c>
      <c r="B5" s="44" t="s">
        <v>734</v>
      </c>
      <c r="C5" s="43" t="s">
        <v>752</v>
      </c>
      <c r="D5" s="43" t="s">
        <v>753</v>
      </c>
      <c r="E5" s="43" t="s">
        <v>747</v>
      </c>
      <c r="F5" s="43" t="s">
        <v>748</v>
      </c>
      <c r="G5" s="43" t="s">
        <v>749</v>
      </c>
      <c r="H5" s="43" t="s">
        <v>754</v>
      </c>
      <c r="I5" s="44" t="s">
        <v>27</v>
      </c>
      <c r="J5" s="43"/>
    </row>
    <row r="6" spans="1:10" ht="44.1" customHeight="1" x14ac:dyDescent="0.3">
      <c r="A6" s="44" t="s">
        <v>755</v>
      </c>
      <c r="B6" s="44" t="s">
        <v>734</v>
      </c>
      <c r="C6" s="43" t="s">
        <v>756</v>
      </c>
      <c r="D6" s="43" t="s">
        <v>757</v>
      </c>
      <c r="E6" s="43" t="s">
        <v>758</v>
      </c>
      <c r="F6" s="43" t="s">
        <v>759</v>
      </c>
      <c r="G6" s="43"/>
      <c r="H6" s="43" t="s">
        <v>760</v>
      </c>
      <c r="I6" s="44" t="s">
        <v>27</v>
      </c>
      <c r="J6" s="43"/>
    </row>
    <row r="7" spans="1:10" ht="44.1" customHeight="1" x14ac:dyDescent="0.3">
      <c r="A7" s="44" t="s">
        <v>761</v>
      </c>
      <c r="B7" s="44" t="s">
        <v>734</v>
      </c>
      <c r="C7" s="43" t="s">
        <v>762</v>
      </c>
      <c r="D7" s="43" t="s">
        <v>763</v>
      </c>
      <c r="E7" s="43" t="s">
        <v>758</v>
      </c>
      <c r="F7" s="43" t="s">
        <v>759</v>
      </c>
      <c r="G7" s="43"/>
      <c r="H7" s="43" t="s">
        <v>764</v>
      </c>
      <c r="I7" s="44" t="s">
        <v>27</v>
      </c>
      <c r="J7" s="43"/>
    </row>
    <row r="8" spans="1:10" ht="44.1" customHeight="1" x14ac:dyDescent="0.3">
      <c r="A8" s="44" t="s">
        <v>765</v>
      </c>
      <c r="B8" s="44" t="s">
        <v>734</v>
      </c>
      <c r="C8" s="43" t="s">
        <v>766</v>
      </c>
      <c r="D8" s="43" t="s">
        <v>767</v>
      </c>
      <c r="E8" s="43" t="s">
        <v>758</v>
      </c>
      <c r="F8" s="43" t="s">
        <v>759</v>
      </c>
      <c r="G8" s="43"/>
      <c r="H8" s="43" t="s">
        <v>768</v>
      </c>
      <c r="I8" s="44" t="s">
        <v>27</v>
      </c>
      <c r="J8" s="43"/>
    </row>
    <row r="9" spans="1:10" ht="44.1" customHeight="1" x14ac:dyDescent="0.3">
      <c r="A9" s="44" t="s">
        <v>769</v>
      </c>
      <c r="B9" s="44" t="s">
        <v>734</v>
      </c>
      <c r="C9" s="43" t="s">
        <v>770</v>
      </c>
      <c r="D9" s="43" t="s">
        <v>771</v>
      </c>
      <c r="E9" s="43" t="s">
        <v>772</v>
      </c>
      <c r="F9" s="43" t="s">
        <v>773</v>
      </c>
      <c r="G9" s="43" t="s">
        <v>774</v>
      </c>
      <c r="H9" s="43" t="s">
        <v>775</v>
      </c>
      <c r="I9" s="44" t="s">
        <v>27</v>
      </c>
      <c r="J9" s="43"/>
    </row>
    <row r="10" spans="1:10" ht="44.1" customHeight="1" x14ac:dyDescent="0.3">
      <c r="A10" s="44" t="s">
        <v>776</v>
      </c>
      <c r="B10" s="44" t="s">
        <v>734</v>
      </c>
      <c r="C10" s="43" t="s">
        <v>777</v>
      </c>
      <c r="D10" s="43" t="s">
        <v>778</v>
      </c>
      <c r="E10" s="43" t="s">
        <v>779</v>
      </c>
      <c r="F10" s="43" t="s">
        <v>780</v>
      </c>
      <c r="G10" s="43" t="s">
        <v>774</v>
      </c>
      <c r="H10" s="43" t="s">
        <v>781</v>
      </c>
      <c r="I10" s="44" t="s">
        <v>27</v>
      </c>
      <c r="J10" s="43"/>
    </row>
    <row r="11" spans="1:10" ht="44.1" customHeight="1" x14ac:dyDescent="0.3">
      <c r="A11" s="44" t="s">
        <v>782</v>
      </c>
      <c r="B11" s="44" t="s">
        <v>734</v>
      </c>
      <c r="C11" s="43" t="s">
        <v>783</v>
      </c>
      <c r="D11" s="43" t="s">
        <v>784</v>
      </c>
      <c r="E11" s="43" t="s">
        <v>785</v>
      </c>
      <c r="F11" s="43" t="s">
        <v>786</v>
      </c>
      <c r="G11" s="43" t="s">
        <v>774</v>
      </c>
      <c r="H11" s="43" t="s">
        <v>787</v>
      </c>
      <c r="I11" s="44" t="s">
        <v>27</v>
      </c>
      <c r="J11" s="43"/>
    </row>
    <row r="12" spans="1:10" ht="44.1" customHeight="1" x14ac:dyDescent="0.3">
      <c r="A12" s="44" t="s">
        <v>788</v>
      </c>
      <c r="B12" s="44" t="s">
        <v>734</v>
      </c>
      <c r="C12" s="43" t="s">
        <v>789</v>
      </c>
      <c r="D12" s="43" t="s">
        <v>790</v>
      </c>
      <c r="E12" s="43" t="s">
        <v>772</v>
      </c>
      <c r="F12" s="43" t="s">
        <v>773</v>
      </c>
      <c r="G12" s="43" t="s">
        <v>774</v>
      </c>
      <c r="H12" s="43" t="s">
        <v>791</v>
      </c>
      <c r="I12" s="44" t="s">
        <v>27</v>
      </c>
      <c r="J12" s="43"/>
    </row>
    <row r="13" spans="1:10" ht="44.1" customHeight="1" x14ac:dyDescent="0.3">
      <c r="A13" s="44" t="s">
        <v>792</v>
      </c>
      <c r="B13" s="44" t="s">
        <v>734</v>
      </c>
      <c r="C13" s="43" t="s">
        <v>793</v>
      </c>
      <c r="D13" s="43" t="s">
        <v>794</v>
      </c>
      <c r="E13" s="43" t="s">
        <v>795</v>
      </c>
      <c r="F13" s="43" t="s">
        <v>796</v>
      </c>
      <c r="G13" s="43"/>
      <c r="H13" s="43" t="s">
        <v>797</v>
      </c>
      <c r="I13" s="44" t="s">
        <v>27</v>
      </c>
      <c r="J13" s="43"/>
    </row>
    <row r="14" spans="1:10" ht="44.1" customHeight="1" x14ac:dyDescent="0.3">
      <c r="A14" s="44" t="s">
        <v>798</v>
      </c>
      <c r="B14" s="44" t="s">
        <v>734</v>
      </c>
      <c r="C14" s="43" t="s">
        <v>799</v>
      </c>
      <c r="D14" s="43" t="s">
        <v>800</v>
      </c>
      <c r="E14" s="43" t="s">
        <v>795</v>
      </c>
      <c r="F14" s="43" t="s">
        <v>796</v>
      </c>
      <c r="G14" s="43"/>
      <c r="H14" s="43" t="s">
        <v>801</v>
      </c>
      <c r="I14" s="44" t="s">
        <v>27</v>
      </c>
      <c r="J14" s="43"/>
    </row>
    <row r="15" spans="1:10" ht="44.1" customHeight="1" x14ac:dyDescent="0.3">
      <c r="A15" s="44" t="s">
        <v>802</v>
      </c>
      <c r="B15" s="44" t="s">
        <v>734</v>
      </c>
      <c r="C15" s="43" t="s">
        <v>803</v>
      </c>
      <c r="D15" s="43" t="s">
        <v>804</v>
      </c>
      <c r="E15" s="43" t="s">
        <v>805</v>
      </c>
      <c r="F15" s="43" t="s">
        <v>806</v>
      </c>
      <c r="G15" s="43"/>
      <c r="H15" s="43" t="s">
        <v>807</v>
      </c>
      <c r="I15" s="44" t="s">
        <v>27</v>
      </c>
      <c r="J15" s="43"/>
    </row>
    <row r="16" spans="1:10" ht="44.1" customHeight="1" x14ac:dyDescent="0.3">
      <c r="A16" s="44" t="s">
        <v>808</v>
      </c>
      <c r="B16" s="44" t="s">
        <v>734</v>
      </c>
      <c r="C16" s="43" t="s">
        <v>809</v>
      </c>
      <c r="D16" s="43" t="s">
        <v>810</v>
      </c>
      <c r="E16" s="43" t="s">
        <v>811</v>
      </c>
      <c r="F16" s="43" t="s">
        <v>812</v>
      </c>
      <c r="G16" s="43"/>
      <c r="H16" s="43" t="s">
        <v>813</v>
      </c>
      <c r="I16" s="44" t="s">
        <v>27</v>
      </c>
      <c r="J16" s="43"/>
    </row>
    <row r="17" spans="1:10" ht="44.1" customHeight="1" x14ac:dyDescent="0.3">
      <c r="A17" s="44" t="s">
        <v>814</v>
      </c>
      <c r="B17" s="44" t="s">
        <v>734</v>
      </c>
      <c r="C17" s="43" t="s">
        <v>815</v>
      </c>
      <c r="D17" s="43" t="s">
        <v>816</v>
      </c>
      <c r="E17" s="43" t="s">
        <v>811</v>
      </c>
      <c r="F17" s="43" t="s">
        <v>812</v>
      </c>
      <c r="G17" s="43"/>
      <c r="H17" s="43" t="s">
        <v>817</v>
      </c>
      <c r="I17" s="44" t="s">
        <v>27</v>
      </c>
      <c r="J17" s="43"/>
    </row>
    <row r="18" spans="1:10" ht="44.1" customHeight="1" x14ac:dyDescent="0.3">
      <c r="A18" s="44" t="s">
        <v>818</v>
      </c>
      <c r="B18" s="44" t="s">
        <v>734</v>
      </c>
      <c r="C18" s="43" t="s">
        <v>819</v>
      </c>
      <c r="D18" s="43" t="s">
        <v>820</v>
      </c>
      <c r="E18" s="43" t="s">
        <v>821</v>
      </c>
      <c r="F18" s="43" t="s">
        <v>822</v>
      </c>
      <c r="G18" s="43"/>
      <c r="H18" s="43" t="s">
        <v>823</v>
      </c>
      <c r="I18" s="44" t="s">
        <v>27</v>
      </c>
      <c r="J18" s="43"/>
    </row>
    <row r="19" spans="1:10" ht="44.1" customHeight="1" x14ac:dyDescent="0.3">
      <c r="A19" s="44" t="s">
        <v>824</v>
      </c>
      <c r="B19" s="44" t="s">
        <v>734</v>
      </c>
      <c r="C19" s="43" t="s">
        <v>825</v>
      </c>
      <c r="D19" s="43" t="s">
        <v>826</v>
      </c>
      <c r="E19" s="43" t="s">
        <v>827</v>
      </c>
      <c r="F19" s="43" t="s">
        <v>828</v>
      </c>
      <c r="G19" s="43"/>
      <c r="H19" s="43" t="s">
        <v>829</v>
      </c>
      <c r="I19" s="44" t="s">
        <v>27</v>
      </c>
      <c r="J19" s="43"/>
    </row>
    <row r="20" spans="1:10" ht="44.1" customHeight="1" x14ac:dyDescent="0.3">
      <c r="A20" s="44" t="s">
        <v>830</v>
      </c>
      <c r="B20" s="44" t="s">
        <v>734</v>
      </c>
      <c r="C20" s="43" t="s">
        <v>831</v>
      </c>
      <c r="D20" s="43" t="s">
        <v>832</v>
      </c>
      <c r="E20" s="43" t="s">
        <v>833</v>
      </c>
      <c r="F20" s="43" t="s">
        <v>834</v>
      </c>
      <c r="G20" s="43"/>
      <c r="H20" s="43" t="s">
        <v>835</v>
      </c>
      <c r="I20" s="44" t="s">
        <v>27</v>
      </c>
      <c r="J20" s="43"/>
    </row>
    <row r="21" spans="1:10" ht="44.1" customHeight="1" x14ac:dyDescent="0.3">
      <c r="A21" s="44" t="s">
        <v>836</v>
      </c>
      <c r="B21" s="44" t="s">
        <v>734</v>
      </c>
      <c r="C21" s="43" t="s">
        <v>837</v>
      </c>
      <c r="D21" s="43" t="s">
        <v>838</v>
      </c>
      <c r="E21" s="43" t="s">
        <v>833</v>
      </c>
      <c r="F21" s="43" t="s">
        <v>834</v>
      </c>
      <c r="G21" s="43"/>
      <c r="H21" s="43" t="s">
        <v>839</v>
      </c>
      <c r="I21" s="44" t="s">
        <v>27</v>
      </c>
      <c r="J21" s="43"/>
    </row>
    <row r="22" spans="1:10" ht="44.1" customHeight="1" x14ac:dyDescent="0.3">
      <c r="A22" s="44" t="s">
        <v>840</v>
      </c>
      <c r="B22" s="44" t="s">
        <v>734</v>
      </c>
      <c r="C22" s="43" t="s">
        <v>841</v>
      </c>
      <c r="D22" s="43" t="s">
        <v>842</v>
      </c>
      <c r="E22" s="43" t="s">
        <v>833</v>
      </c>
      <c r="F22" s="43" t="s">
        <v>834</v>
      </c>
      <c r="G22" s="43"/>
      <c r="H22" s="43" t="s">
        <v>843</v>
      </c>
      <c r="I22" s="44" t="s">
        <v>27</v>
      </c>
      <c r="J22" s="43"/>
    </row>
    <row r="23" spans="1:10" ht="44.1" customHeight="1" x14ac:dyDescent="0.3">
      <c r="A23" s="44" t="s">
        <v>844</v>
      </c>
      <c r="B23" s="44" t="s">
        <v>734</v>
      </c>
      <c r="C23" s="43" t="s">
        <v>845</v>
      </c>
      <c r="D23" s="43" t="s">
        <v>846</v>
      </c>
      <c r="E23" s="43" t="s">
        <v>833</v>
      </c>
      <c r="F23" s="43" t="s">
        <v>834</v>
      </c>
      <c r="G23" s="43"/>
      <c r="H23" s="43" t="s">
        <v>847</v>
      </c>
      <c r="I23" s="44" t="s">
        <v>27</v>
      </c>
      <c r="J23" s="43"/>
    </row>
    <row r="24" spans="1:10" ht="44.1" customHeight="1" x14ac:dyDescent="0.3">
      <c r="A24" s="44" t="s">
        <v>848</v>
      </c>
      <c r="B24" s="44" t="s">
        <v>734</v>
      </c>
      <c r="C24" s="43" t="s">
        <v>849</v>
      </c>
      <c r="D24" s="43" t="s">
        <v>850</v>
      </c>
      <c r="E24" s="43" t="s">
        <v>833</v>
      </c>
      <c r="F24" s="43" t="s">
        <v>834</v>
      </c>
      <c r="G24" s="43"/>
      <c r="H24" s="43" t="s">
        <v>851</v>
      </c>
      <c r="I24" s="44" t="s">
        <v>27</v>
      </c>
      <c r="J24" s="43"/>
    </row>
    <row r="25" spans="1:10" ht="44.1" customHeight="1" x14ac:dyDescent="0.3">
      <c r="A25" s="44" t="s">
        <v>852</v>
      </c>
      <c r="B25" s="44" t="s">
        <v>734</v>
      </c>
      <c r="C25" s="43" t="s">
        <v>853</v>
      </c>
      <c r="D25" s="43" t="s">
        <v>854</v>
      </c>
      <c r="E25" s="43" t="s">
        <v>833</v>
      </c>
      <c r="F25" s="43" t="s">
        <v>834</v>
      </c>
      <c r="G25" s="43"/>
      <c r="H25" s="43" t="s">
        <v>855</v>
      </c>
      <c r="I25" s="44" t="s">
        <v>27</v>
      </c>
      <c r="J25" s="43"/>
    </row>
    <row r="26" spans="1:10" ht="44.1" customHeight="1" x14ac:dyDescent="0.3">
      <c r="A26" s="44" t="s">
        <v>856</v>
      </c>
      <c r="B26" s="44" t="s">
        <v>734</v>
      </c>
      <c r="C26" s="43" t="s">
        <v>857</v>
      </c>
      <c r="D26" s="43" t="s">
        <v>858</v>
      </c>
      <c r="E26" s="43" t="s">
        <v>833</v>
      </c>
      <c r="F26" s="43" t="s">
        <v>834</v>
      </c>
      <c r="G26" s="43"/>
      <c r="H26" s="43" t="s">
        <v>859</v>
      </c>
      <c r="I26" s="44" t="s">
        <v>27</v>
      </c>
      <c r="J26" s="43"/>
    </row>
    <row r="27" spans="1:10" ht="44.1" customHeight="1" x14ac:dyDescent="0.3">
      <c r="A27" s="44" t="s">
        <v>860</v>
      </c>
      <c r="B27" s="44" t="s">
        <v>734</v>
      </c>
      <c r="C27" s="43" t="s">
        <v>861</v>
      </c>
      <c r="D27" s="43" t="s">
        <v>862</v>
      </c>
      <c r="E27" s="43" t="s">
        <v>863</v>
      </c>
      <c r="F27" s="43" t="s">
        <v>864</v>
      </c>
      <c r="G27" s="43" t="s">
        <v>749</v>
      </c>
      <c r="H27" s="43" t="s">
        <v>865</v>
      </c>
      <c r="I27" s="44" t="s">
        <v>27</v>
      </c>
      <c r="J27" s="43"/>
    </row>
    <row r="28" spans="1:10" ht="44.1" customHeight="1" x14ac:dyDescent="0.3">
      <c r="A28" s="44" t="s">
        <v>866</v>
      </c>
      <c r="B28" s="44" t="s">
        <v>734</v>
      </c>
      <c r="C28" s="43" t="s">
        <v>867</v>
      </c>
      <c r="D28" s="43" t="s">
        <v>868</v>
      </c>
      <c r="E28" s="43" t="s">
        <v>811</v>
      </c>
      <c r="F28" s="43" t="s">
        <v>812</v>
      </c>
      <c r="G28" s="43"/>
      <c r="H28" s="43" t="s">
        <v>869</v>
      </c>
      <c r="I28" s="44" t="s">
        <v>27</v>
      </c>
      <c r="J28" s="43"/>
    </row>
    <row r="29" spans="1:10" ht="44.1" customHeight="1" x14ac:dyDescent="0.3">
      <c r="A29" s="44" t="s">
        <v>870</v>
      </c>
      <c r="B29" s="44" t="s">
        <v>734</v>
      </c>
      <c r="C29" s="43" t="s">
        <v>871</v>
      </c>
      <c r="D29" s="43" t="s">
        <v>872</v>
      </c>
      <c r="E29" s="43" t="s">
        <v>873</v>
      </c>
      <c r="F29" s="43" t="s">
        <v>874</v>
      </c>
      <c r="G29" s="43"/>
      <c r="H29" s="43" t="s">
        <v>875</v>
      </c>
      <c r="I29" s="44" t="s">
        <v>27</v>
      </c>
      <c r="J29" s="43"/>
    </row>
    <row r="30" spans="1:10" ht="44.1" customHeight="1" x14ac:dyDescent="0.3">
      <c r="A30" s="44" t="s">
        <v>876</v>
      </c>
      <c r="B30" s="44" t="s">
        <v>734</v>
      </c>
      <c r="C30" s="43" t="s">
        <v>877</v>
      </c>
      <c r="D30" s="43" t="s">
        <v>878</v>
      </c>
      <c r="E30" s="43" t="s">
        <v>873</v>
      </c>
      <c r="F30" s="43" t="s">
        <v>874</v>
      </c>
      <c r="G30" s="43"/>
      <c r="H30" s="43" t="s">
        <v>879</v>
      </c>
      <c r="I30" s="44" t="s">
        <v>27</v>
      </c>
      <c r="J30" s="43"/>
    </row>
    <row r="31" spans="1:10" ht="44.1" customHeight="1" x14ac:dyDescent="0.3">
      <c r="A31" s="44" t="s">
        <v>880</v>
      </c>
      <c r="B31" s="44" t="s">
        <v>734</v>
      </c>
      <c r="C31" s="43" t="s">
        <v>881</v>
      </c>
      <c r="D31" s="43" t="s">
        <v>882</v>
      </c>
      <c r="E31" s="43" t="s">
        <v>883</v>
      </c>
      <c r="F31" s="43" t="s">
        <v>884</v>
      </c>
      <c r="G31" s="43"/>
      <c r="H31" s="43" t="s">
        <v>885</v>
      </c>
      <c r="I31" s="44" t="s">
        <v>27</v>
      </c>
      <c r="J31" s="43"/>
    </row>
    <row r="32" spans="1:10" ht="44.1" customHeight="1" x14ac:dyDescent="0.3">
      <c r="A32" s="44" t="s">
        <v>886</v>
      </c>
      <c r="B32" s="44" t="s">
        <v>734</v>
      </c>
      <c r="C32" s="43" t="s">
        <v>887</v>
      </c>
      <c r="D32" s="43" t="s">
        <v>888</v>
      </c>
      <c r="E32" s="43" t="s">
        <v>889</v>
      </c>
      <c r="F32" s="43" t="s">
        <v>890</v>
      </c>
      <c r="G32" s="43"/>
      <c r="H32" s="43" t="s">
        <v>891</v>
      </c>
      <c r="I32" s="44" t="s">
        <v>27</v>
      </c>
      <c r="J32" s="43"/>
    </row>
    <row r="33" spans="1:10" ht="44.1" customHeight="1" x14ac:dyDescent="0.3">
      <c r="A33" s="44" t="s">
        <v>892</v>
      </c>
      <c r="B33" s="44" t="s">
        <v>734</v>
      </c>
      <c r="C33" s="43" t="s">
        <v>893</v>
      </c>
      <c r="D33" s="43" t="s">
        <v>894</v>
      </c>
      <c r="E33" s="43" t="s">
        <v>895</v>
      </c>
      <c r="F33" s="43" t="s">
        <v>896</v>
      </c>
      <c r="G33" s="43"/>
      <c r="H33" s="43" t="s">
        <v>897</v>
      </c>
      <c r="I33" s="44" t="s">
        <v>27</v>
      </c>
      <c r="J33" s="43"/>
    </row>
    <row r="34" spans="1:10" ht="44.1" customHeight="1" x14ac:dyDescent="0.3">
      <c r="A34" s="44" t="s">
        <v>898</v>
      </c>
      <c r="B34" s="44" t="s">
        <v>734</v>
      </c>
      <c r="C34" s="43" t="s">
        <v>899</v>
      </c>
      <c r="D34" s="43" t="s">
        <v>900</v>
      </c>
      <c r="E34" s="43" t="s">
        <v>895</v>
      </c>
      <c r="F34" s="43" t="s">
        <v>896</v>
      </c>
      <c r="G34" s="43"/>
      <c r="H34" s="43" t="s">
        <v>901</v>
      </c>
      <c r="I34" s="44" t="s">
        <v>27</v>
      </c>
      <c r="J34" s="43"/>
    </row>
    <row r="35" spans="1:10" ht="44.1" customHeight="1" x14ac:dyDescent="0.3">
      <c r="A35" s="44" t="s">
        <v>902</v>
      </c>
      <c r="B35" s="44" t="s">
        <v>734</v>
      </c>
      <c r="C35" s="43" t="s">
        <v>903</v>
      </c>
      <c r="D35" s="43" t="s">
        <v>904</v>
      </c>
      <c r="E35" s="43" t="s">
        <v>905</v>
      </c>
      <c r="F35" s="43" t="s">
        <v>905</v>
      </c>
      <c r="G35" s="43"/>
      <c r="H35" s="43" t="s">
        <v>906</v>
      </c>
      <c r="I35" s="44" t="s">
        <v>27</v>
      </c>
      <c r="J35" s="43"/>
    </row>
    <row r="36" spans="1:10" ht="44.1" customHeight="1" x14ac:dyDescent="0.3">
      <c r="A36" s="44" t="s">
        <v>907</v>
      </c>
      <c r="B36" s="44" t="s">
        <v>734</v>
      </c>
      <c r="C36" s="43" t="s">
        <v>908</v>
      </c>
      <c r="D36" s="43" t="s">
        <v>909</v>
      </c>
      <c r="E36" s="43" t="s">
        <v>863</v>
      </c>
      <c r="F36" s="43" t="s">
        <v>864</v>
      </c>
      <c r="G36" s="43" t="s">
        <v>749</v>
      </c>
      <c r="H36" s="43" t="s">
        <v>910</v>
      </c>
      <c r="I36" s="44" t="s">
        <v>27</v>
      </c>
      <c r="J36" s="43"/>
    </row>
    <row r="37" spans="1:10" ht="44.1" customHeight="1" x14ac:dyDescent="0.3">
      <c r="A37" s="44" t="s">
        <v>911</v>
      </c>
      <c r="B37" s="44" t="s">
        <v>734</v>
      </c>
      <c r="C37" s="43" t="s">
        <v>912</v>
      </c>
      <c r="D37" s="43" t="s">
        <v>913</v>
      </c>
      <c r="E37" s="43" t="s">
        <v>914</v>
      </c>
      <c r="F37" s="43" t="s">
        <v>915</v>
      </c>
      <c r="G37" s="43"/>
      <c r="H37" s="43" t="s">
        <v>916</v>
      </c>
      <c r="I37" s="44" t="s">
        <v>27</v>
      </c>
      <c r="J37" s="43"/>
    </row>
    <row r="38" spans="1:10" ht="44.1" customHeight="1" x14ac:dyDescent="0.3">
      <c r="A38" s="44" t="s">
        <v>917</v>
      </c>
      <c r="B38" s="44" t="s">
        <v>734</v>
      </c>
      <c r="C38" s="43" t="s">
        <v>918</v>
      </c>
      <c r="D38" s="43" t="s">
        <v>919</v>
      </c>
      <c r="E38" s="43" t="s">
        <v>914</v>
      </c>
      <c r="F38" s="43" t="s">
        <v>915</v>
      </c>
      <c r="G38" s="43"/>
      <c r="H38" s="43" t="s">
        <v>920</v>
      </c>
      <c r="I38" s="44" t="s">
        <v>27</v>
      </c>
      <c r="J38" s="43"/>
    </row>
    <row r="39" spans="1:10" ht="44.1" customHeight="1" x14ac:dyDescent="0.3">
      <c r="A39" s="44" t="s">
        <v>921</v>
      </c>
      <c r="B39" s="44" t="s">
        <v>734</v>
      </c>
      <c r="C39" s="43" t="s">
        <v>922</v>
      </c>
      <c r="D39" s="43" t="s">
        <v>923</v>
      </c>
      <c r="E39" s="43" t="s">
        <v>863</v>
      </c>
      <c r="F39" s="43" t="s">
        <v>864</v>
      </c>
      <c r="G39" s="43" t="s">
        <v>749</v>
      </c>
      <c r="H39" s="43" t="s">
        <v>924</v>
      </c>
      <c r="I39" s="44" t="s">
        <v>27</v>
      </c>
      <c r="J39" s="43"/>
    </row>
    <row r="40" spans="1:10" ht="44.1" customHeight="1" x14ac:dyDescent="0.3">
      <c r="A40" s="44" t="s">
        <v>925</v>
      </c>
      <c r="B40" s="44" t="s">
        <v>734</v>
      </c>
      <c r="C40" s="43" t="s">
        <v>926</v>
      </c>
      <c r="D40" s="43" t="s">
        <v>927</v>
      </c>
      <c r="E40" s="43" t="s">
        <v>905</v>
      </c>
      <c r="F40" s="43" t="s">
        <v>905</v>
      </c>
      <c r="G40" s="43"/>
      <c r="H40" s="43" t="s">
        <v>928</v>
      </c>
      <c r="I40" s="44" t="s">
        <v>27</v>
      </c>
      <c r="J40" s="43"/>
    </row>
    <row r="41" spans="1:10" ht="44.1" customHeight="1" x14ac:dyDescent="0.3">
      <c r="A41" s="44" t="s">
        <v>929</v>
      </c>
      <c r="B41" s="44" t="s">
        <v>734</v>
      </c>
      <c r="C41" s="43" t="s">
        <v>930</v>
      </c>
      <c r="D41" s="43" t="s">
        <v>931</v>
      </c>
      <c r="E41" s="43" t="s">
        <v>863</v>
      </c>
      <c r="F41" s="43" t="s">
        <v>864</v>
      </c>
      <c r="G41" s="43" t="s">
        <v>749</v>
      </c>
      <c r="H41" s="43" t="s">
        <v>932</v>
      </c>
      <c r="I41" s="44" t="s">
        <v>27</v>
      </c>
      <c r="J41" s="43"/>
    </row>
    <row r="42" spans="1:10" ht="44.1" customHeight="1" x14ac:dyDescent="0.3">
      <c r="A42" s="44" t="s">
        <v>933</v>
      </c>
      <c r="B42" s="44" t="s">
        <v>734</v>
      </c>
      <c r="C42" s="43" t="s">
        <v>934</v>
      </c>
      <c r="D42" s="43" t="s">
        <v>935</v>
      </c>
      <c r="E42" s="43" t="s">
        <v>863</v>
      </c>
      <c r="F42" s="43" t="s">
        <v>864</v>
      </c>
      <c r="G42" s="43" t="s">
        <v>749</v>
      </c>
      <c r="H42" s="43" t="s">
        <v>936</v>
      </c>
      <c r="I42" s="44" t="s">
        <v>27</v>
      </c>
      <c r="J42" s="43"/>
    </row>
    <row r="43" spans="1:10" ht="44.1" customHeight="1" x14ac:dyDescent="0.3">
      <c r="A43" s="44" t="s">
        <v>937</v>
      </c>
      <c r="B43" s="44" t="s">
        <v>938</v>
      </c>
      <c r="C43" s="43" t="s">
        <v>939</v>
      </c>
      <c r="D43" s="43" t="s">
        <v>940</v>
      </c>
      <c r="E43" s="43" t="s">
        <v>863</v>
      </c>
      <c r="F43" s="43" t="s">
        <v>864</v>
      </c>
      <c r="G43" s="43" t="s">
        <v>749</v>
      </c>
      <c r="H43" s="43" t="s">
        <v>941</v>
      </c>
      <c r="I43" s="44" t="s">
        <v>27</v>
      </c>
      <c r="J43" s="43"/>
    </row>
    <row r="44" spans="1:10" ht="44.1" customHeight="1" x14ac:dyDescent="0.3">
      <c r="A44" s="44" t="s">
        <v>942</v>
      </c>
      <c r="B44" s="44" t="s">
        <v>938</v>
      </c>
      <c r="C44" s="43" t="s">
        <v>943</v>
      </c>
      <c r="D44" s="43" t="s">
        <v>944</v>
      </c>
      <c r="E44" s="43" t="s">
        <v>863</v>
      </c>
      <c r="F44" s="43" t="s">
        <v>864</v>
      </c>
      <c r="G44" s="43" t="s">
        <v>749</v>
      </c>
      <c r="H44" s="43" t="s">
        <v>945</v>
      </c>
      <c r="I44" s="44" t="s">
        <v>27</v>
      </c>
      <c r="J44" s="43"/>
    </row>
    <row r="45" spans="1:10" ht="44.1" customHeight="1" x14ac:dyDescent="0.3">
      <c r="A45" s="44" t="s">
        <v>946</v>
      </c>
      <c r="B45" s="44" t="s">
        <v>938</v>
      </c>
      <c r="C45" s="43" t="s">
        <v>947</v>
      </c>
      <c r="D45" s="43" t="s">
        <v>948</v>
      </c>
      <c r="E45" s="43" t="s">
        <v>863</v>
      </c>
      <c r="F45" s="43" t="s">
        <v>864</v>
      </c>
      <c r="G45" s="43" t="s">
        <v>749</v>
      </c>
      <c r="H45" s="43" t="s">
        <v>949</v>
      </c>
      <c r="I45" s="44" t="s">
        <v>27</v>
      </c>
      <c r="J45" s="43"/>
    </row>
    <row r="46" spans="1:10" ht="44.1" customHeight="1" x14ac:dyDescent="0.3">
      <c r="A46" s="44" t="s">
        <v>950</v>
      </c>
      <c r="B46" s="44" t="s">
        <v>938</v>
      </c>
      <c r="C46" s="43" t="s">
        <v>951</v>
      </c>
      <c r="D46" s="43" t="s">
        <v>952</v>
      </c>
      <c r="E46" s="43" t="s">
        <v>863</v>
      </c>
      <c r="F46" s="43" t="s">
        <v>864</v>
      </c>
      <c r="G46" s="43" t="s">
        <v>749</v>
      </c>
      <c r="H46" s="43" t="s">
        <v>953</v>
      </c>
      <c r="I46" s="44" t="s">
        <v>27</v>
      </c>
      <c r="J46" s="43"/>
    </row>
    <row r="47" spans="1:10" ht="44.1" customHeight="1" x14ac:dyDescent="0.3">
      <c r="A47" s="44" t="s">
        <v>954</v>
      </c>
      <c r="B47" s="44" t="s">
        <v>938</v>
      </c>
      <c r="C47" s="43" t="s">
        <v>955</v>
      </c>
      <c r="D47" s="43" t="s">
        <v>956</v>
      </c>
      <c r="E47" s="43" t="s">
        <v>863</v>
      </c>
      <c r="F47" s="43" t="s">
        <v>864</v>
      </c>
      <c r="G47" s="43" t="s">
        <v>749</v>
      </c>
      <c r="H47" s="43" t="s">
        <v>957</v>
      </c>
      <c r="I47" s="44" t="s">
        <v>27</v>
      </c>
      <c r="J47" s="43"/>
    </row>
    <row r="48" spans="1:10" ht="44.1" customHeight="1" x14ac:dyDescent="0.3">
      <c r="A48" s="44" t="s">
        <v>958</v>
      </c>
      <c r="B48" s="44" t="s">
        <v>938</v>
      </c>
      <c r="C48" s="43" t="s">
        <v>959</v>
      </c>
      <c r="D48" s="43" t="s">
        <v>960</v>
      </c>
      <c r="E48" s="43" t="s">
        <v>863</v>
      </c>
      <c r="F48" s="43" t="s">
        <v>864</v>
      </c>
      <c r="G48" s="43" t="s">
        <v>749</v>
      </c>
      <c r="H48" s="43" t="s">
        <v>961</v>
      </c>
      <c r="I48" s="44" t="s">
        <v>27</v>
      </c>
      <c r="J48" s="43"/>
    </row>
    <row r="49" spans="1:10" ht="44.1" customHeight="1" x14ac:dyDescent="0.3">
      <c r="A49" s="44" t="s">
        <v>962</v>
      </c>
      <c r="B49" s="44" t="s">
        <v>938</v>
      </c>
      <c r="C49" s="43" t="s">
        <v>963</v>
      </c>
      <c r="D49" s="43" t="s">
        <v>964</v>
      </c>
      <c r="E49" s="43" t="s">
        <v>863</v>
      </c>
      <c r="F49" s="43" t="s">
        <v>864</v>
      </c>
      <c r="G49" s="43" t="s">
        <v>749</v>
      </c>
      <c r="H49" s="43" t="s">
        <v>965</v>
      </c>
      <c r="I49" s="44" t="s">
        <v>27</v>
      </c>
      <c r="J49" s="43"/>
    </row>
    <row r="50" spans="1:10" ht="44.1" customHeight="1" x14ac:dyDescent="0.3">
      <c r="A50" s="44" t="s">
        <v>966</v>
      </c>
      <c r="B50" s="44" t="s">
        <v>938</v>
      </c>
      <c r="C50" s="43" t="s">
        <v>967</v>
      </c>
      <c r="D50" s="43" t="s">
        <v>968</v>
      </c>
      <c r="E50" s="43" t="s">
        <v>863</v>
      </c>
      <c r="F50" s="43" t="s">
        <v>864</v>
      </c>
      <c r="G50" s="43" t="s">
        <v>749</v>
      </c>
      <c r="H50" s="43" t="s">
        <v>969</v>
      </c>
      <c r="I50" s="44" t="s">
        <v>27</v>
      </c>
      <c r="J50" s="43"/>
    </row>
    <row r="51" spans="1:10" ht="44.1" customHeight="1" x14ac:dyDescent="0.3">
      <c r="A51" s="44" t="s">
        <v>970</v>
      </c>
      <c r="B51" s="44" t="s">
        <v>938</v>
      </c>
      <c r="C51" s="43" t="s">
        <v>971</v>
      </c>
      <c r="D51" s="43" t="s">
        <v>972</v>
      </c>
      <c r="E51" s="43" t="s">
        <v>863</v>
      </c>
      <c r="F51" s="43" t="s">
        <v>864</v>
      </c>
      <c r="G51" s="43" t="s">
        <v>749</v>
      </c>
      <c r="H51" s="43" t="s">
        <v>973</v>
      </c>
      <c r="I51" s="44" t="s">
        <v>27</v>
      </c>
      <c r="J51" s="43"/>
    </row>
    <row r="52" spans="1:10" ht="44.1" customHeight="1" x14ac:dyDescent="0.3">
      <c r="A52" s="44" t="s">
        <v>974</v>
      </c>
      <c r="B52" s="44" t="s">
        <v>938</v>
      </c>
      <c r="C52" s="43" t="s">
        <v>975</v>
      </c>
      <c r="D52" s="43" t="s">
        <v>976</v>
      </c>
      <c r="E52" s="43" t="s">
        <v>863</v>
      </c>
      <c r="F52" s="43" t="s">
        <v>864</v>
      </c>
      <c r="G52" s="43" t="s">
        <v>749</v>
      </c>
      <c r="H52" s="43" t="s">
        <v>977</v>
      </c>
      <c r="I52" s="44" t="s">
        <v>27</v>
      </c>
      <c r="J52" s="43"/>
    </row>
    <row r="53" spans="1:10" ht="44.1" customHeight="1" x14ac:dyDescent="0.3">
      <c r="A53" s="44" t="s">
        <v>978</v>
      </c>
      <c r="B53" s="44" t="s">
        <v>938</v>
      </c>
      <c r="C53" s="43" t="s">
        <v>979</v>
      </c>
      <c r="D53" s="43" t="s">
        <v>980</v>
      </c>
      <c r="E53" s="43" t="s">
        <v>863</v>
      </c>
      <c r="F53" s="43" t="s">
        <v>864</v>
      </c>
      <c r="G53" s="43" t="s">
        <v>749</v>
      </c>
      <c r="H53" s="43" t="s">
        <v>981</v>
      </c>
      <c r="I53" s="44" t="s">
        <v>27</v>
      </c>
      <c r="J53" s="43"/>
    </row>
    <row r="54" spans="1:10" ht="44.1" customHeight="1" x14ac:dyDescent="0.3">
      <c r="A54" s="44" t="s">
        <v>982</v>
      </c>
      <c r="B54" s="44" t="s">
        <v>938</v>
      </c>
      <c r="C54" s="43" t="s">
        <v>983</v>
      </c>
      <c r="D54" s="43" t="s">
        <v>984</v>
      </c>
      <c r="E54" s="43" t="s">
        <v>863</v>
      </c>
      <c r="F54" s="43" t="s">
        <v>864</v>
      </c>
      <c r="G54" s="43" t="s">
        <v>749</v>
      </c>
      <c r="H54" s="43" t="s">
        <v>985</v>
      </c>
      <c r="I54" s="44" t="s">
        <v>27</v>
      </c>
      <c r="J54" s="43"/>
    </row>
    <row r="55" spans="1:10" ht="44.1" customHeight="1" x14ac:dyDescent="0.3">
      <c r="A55" s="44" t="s">
        <v>986</v>
      </c>
      <c r="B55" s="44" t="s">
        <v>938</v>
      </c>
      <c r="C55" s="43" t="s">
        <v>987</v>
      </c>
      <c r="D55" s="43" t="s">
        <v>988</v>
      </c>
      <c r="E55" s="43" t="s">
        <v>863</v>
      </c>
      <c r="F55" s="43" t="s">
        <v>864</v>
      </c>
      <c r="G55" s="43" t="s">
        <v>749</v>
      </c>
      <c r="H55" s="43" t="s">
        <v>989</v>
      </c>
      <c r="I55" s="44" t="s">
        <v>27</v>
      </c>
      <c r="J55" s="43"/>
    </row>
    <row r="56" spans="1:10" ht="44.1" customHeight="1" x14ac:dyDescent="0.3">
      <c r="A56" s="44" t="s">
        <v>990</v>
      </c>
      <c r="B56" s="44" t="s">
        <v>938</v>
      </c>
      <c r="C56" s="43" t="s">
        <v>991</v>
      </c>
      <c r="D56" s="43" t="s">
        <v>992</v>
      </c>
      <c r="E56" s="43" t="s">
        <v>863</v>
      </c>
      <c r="F56" s="43" t="s">
        <v>864</v>
      </c>
      <c r="G56" s="43" t="s">
        <v>749</v>
      </c>
      <c r="H56" s="43" t="s">
        <v>993</v>
      </c>
      <c r="I56" s="44" t="s">
        <v>27</v>
      </c>
      <c r="J56" s="43"/>
    </row>
    <row r="57" spans="1:10" ht="44.1" customHeight="1" x14ac:dyDescent="0.3">
      <c r="A57" s="44" t="s">
        <v>994</v>
      </c>
      <c r="B57" s="44" t="s">
        <v>938</v>
      </c>
      <c r="C57" s="43" t="s">
        <v>995</v>
      </c>
      <c r="D57" s="43" t="s">
        <v>996</v>
      </c>
      <c r="E57" s="43" t="s">
        <v>863</v>
      </c>
      <c r="F57" s="43" t="s">
        <v>864</v>
      </c>
      <c r="G57" s="43" t="s">
        <v>749</v>
      </c>
      <c r="H57" s="43" t="s">
        <v>997</v>
      </c>
      <c r="I57" s="44" t="s">
        <v>27</v>
      </c>
      <c r="J57" s="43"/>
    </row>
    <row r="58" spans="1:10" ht="44.1" customHeight="1" x14ac:dyDescent="0.3">
      <c r="A58" s="44" t="s">
        <v>998</v>
      </c>
      <c r="B58" s="44" t="s">
        <v>938</v>
      </c>
      <c r="C58" s="43" t="s">
        <v>999</v>
      </c>
      <c r="D58" s="43" t="s">
        <v>1000</v>
      </c>
      <c r="E58" s="43" t="s">
        <v>863</v>
      </c>
      <c r="F58" s="43" t="s">
        <v>864</v>
      </c>
      <c r="G58" s="43" t="s">
        <v>749</v>
      </c>
      <c r="H58" s="43" t="s">
        <v>1001</v>
      </c>
      <c r="I58" s="44" t="s">
        <v>27</v>
      </c>
      <c r="J58" s="43"/>
    </row>
    <row r="59" spans="1:10" ht="44.1" customHeight="1" x14ac:dyDescent="0.3">
      <c r="A59" s="44" t="s">
        <v>1002</v>
      </c>
      <c r="B59" s="44" t="s">
        <v>938</v>
      </c>
      <c r="C59" s="43" t="s">
        <v>1003</v>
      </c>
      <c r="D59" s="43" t="s">
        <v>1004</v>
      </c>
      <c r="E59" s="43" t="s">
        <v>863</v>
      </c>
      <c r="F59" s="43" t="s">
        <v>864</v>
      </c>
      <c r="G59" s="43" t="s">
        <v>749</v>
      </c>
      <c r="H59" s="43" t="s">
        <v>1005</v>
      </c>
      <c r="I59" s="44" t="s">
        <v>27</v>
      </c>
      <c r="J59" s="43"/>
    </row>
    <row r="60" spans="1:10" ht="44.1" customHeight="1" x14ac:dyDescent="0.3">
      <c r="A60" s="44" t="s">
        <v>1006</v>
      </c>
      <c r="B60" s="44" t="s">
        <v>938</v>
      </c>
      <c r="C60" s="43" t="s">
        <v>1007</v>
      </c>
      <c r="D60" s="43" t="s">
        <v>1008</v>
      </c>
      <c r="E60" s="43" t="s">
        <v>863</v>
      </c>
      <c r="F60" s="43" t="s">
        <v>864</v>
      </c>
      <c r="G60" s="43" t="s">
        <v>749</v>
      </c>
      <c r="H60" s="43" t="s">
        <v>1009</v>
      </c>
      <c r="I60" s="44" t="s">
        <v>27</v>
      </c>
      <c r="J60" s="43"/>
    </row>
    <row r="61" spans="1:10" ht="44.1" customHeight="1" x14ac:dyDescent="0.3">
      <c r="A61" s="44" t="s">
        <v>1010</v>
      </c>
      <c r="B61" s="44" t="s">
        <v>938</v>
      </c>
      <c r="C61" s="43" t="s">
        <v>1011</v>
      </c>
      <c r="D61" s="43" t="s">
        <v>1012</v>
      </c>
      <c r="E61" s="43" t="s">
        <v>863</v>
      </c>
      <c r="F61" s="43" t="s">
        <v>864</v>
      </c>
      <c r="G61" s="43" t="s">
        <v>749</v>
      </c>
      <c r="H61" s="43" t="s">
        <v>1013</v>
      </c>
      <c r="I61" s="44" t="s">
        <v>27</v>
      </c>
      <c r="J61" s="43"/>
    </row>
  </sheetData>
  <phoneticPr fontId="1" type="noConversion"/>
  <conditionalFormatting sqref="I2:I61">
    <cfRule type="expression" dxfId="7" priority="1">
      <formula>I2="PASS"</formula>
    </cfRule>
  </conditionalFormatting>
  <conditionalFormatting sqref="I2:I61">
    <cfRule type="expression" dxfId="6" priority="2">
      <formula>I2="FAIL"</formula>
    </cfRule>
  </conditionalFormatting>
  <conditionalFormatting sqref="I2:I61">
    <cfRule type="expression" dxfId="5" priority="3">
      <formula>I2="보류"</formula>
    </cfRule>
  </conditionalFormatting>
  <conditionalFormatting sqref="I2:I61">
    <cfRule type="expression" dxfId="4" priority="4">
      <formula>I2="미실행"</formula>
    </cfRule>
  </conditionalFormatting>
  <dataValidations count="1">
    <dataValidation type="list" allowBlank="1" showInputMessage="1" showErrorMessage="1" errorTitle="입력값 확인" error="목록에서 값을 선택하세요." sqref="I2:I61" xr:uid="{8D687AAB-3FAB-420C-BB16-4522D6E8F470}">
      <formula1>"PASS,FAIL,보류,미실행"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60AB-9061-47FE-BC23-718798302D5E}">
  <sheetPr>
    <tabColor rgb="FF64748B"/>
  </sheetPr>
  <dimension ref="A1:C12"/>
  <sheetViews>
    <sheetView showGridLines="0" workbookViewId="0">
      <pane ySplit="1" topLeftCell="A2" activePane="bottomLeft" state="frozen"/>
      <selection pane="bottomLeft" sqref="A1:L1"/>
    </sheetView>
  </sheetViews>
  <sheetFormatPr defaultRowHeight="16.5" x14ac:dyDescent="0.3"/>
  <cols>
    <col min="1" max="1" width="20" customWidth="1"/>
    <col min="2" max="2" width="18.375" customWidth="1"/>
    <col min="3" max="3" width="63.375" customWidth="1"/>
  </cols>
  <sheetData>
    <row r="1" spans="1:3" ht="27.95" customHeight="1" x14ac:dyDescent="0.3">
      <c r="A1" s="51" t="s">
        <v>686</v>
      </c>
      <c r="B1" s="51" t="s">
        <v>687</v>
      </c>
      <c r="C1" s="51" t="s">
        <v>688</v>
      </c>
    </row>
    <row r="2" spans="1:3" ht="27.95" customHeight="1" x14ac:dyDescent="0.3">
      <c r="A2" s="51" t="s">
        <v>689</v>
      </c>
      <c r="B2" s="51" t="s">
        <v>690</v>
      </c>
      <c r="C2" s="52" t="s">
        <v>691</v>
      </c>
    </row>
    <row r="3" spans="1:3" ht="27.95" customHeight="1" x14ac:dyDescent="0.3">
      <c r="A3" s="51" t="s">
        <v>689</v>
      </c>
      <c r="B3" s="51" t="s">
        <v>692</v>
      </c>
      <c r="C3" s="52" t="s">
        <v>693</v>
      </c>
    </row>
    <row r="4" spans="1:3" ht="27.95" customHeight="1" x14ac:dyDescent="0.3">
      <c r="A4" s="51" t="s">
        <v>689</v>
      </c>
      <c r="B4" s="51" t="s">
        <v>694</v>
      </c>
      <c r="C4" s="52" t="s">
        <v>695</v>
      </c>
    </row>
    <row r="5" spans="1:3" ht="27.95" customHeight="1" x14ac:dyDescent="0.3">
      <c r="A5" s="51" t="s">
        <v>689</v>
      </c>
      <c r="B5" s="51" t="s">
        <v>27</v>
      </c>
      <c r="C5" s="52" t="s">
        <v>696</v>
      </c>
    </row>
    <row r="6" spans="1:3" ht="27.95" customHeight="1" x14ac:dyDescent="0.3">
      <c r="A6" s="51" t="s">
        <v>4</v>
      </c>
      <c r="B6" s="51" t="s">
        <v>24</v>
      </c>
      <c r="C6" s="52" t="s">
        <v>697</v>
      </c>
    </row>
    <row r="7" spans="1:3" ht="27.95" customHeight="1" x14ac:dyDescent="0.3">
      <c r="A7" s="51" t="s">
        <v>4</v>
      </c>
      <c r="B7" s="51" t="s">
        <v>35</v>
      </c>
      <c r="C7" s="52" t="s">
        <v>698</v>
      </c>
    </row>
    <row r="8" spans="1:3" ht="27.95" customHeight="1" x14ac:dyDescent="0.3">
      <c r="A8" s="51" t="s">
        <v>4</v>
      </c>
      <c r="B8" s="51" t="s">
        <v>699</v>
      </c>
      <c r="C8" s="52" t="s">
        <v>700</v>
      </c>
    </row>
    <row r="9" spans="1:3" ht="27.95" customHeight="1" x14ac:dyDescent="0.3">
      <c r="A9" s="51" t="s">
        <v>4</v>
      </c>
      <c r="B9" s="51" t="s">
        <v>701</v>
      </c>
      <c r="C9" s="52" t="s">
        <v>702</v>
      </c>
    </row>
    <row r="10" spans="1:3" ht="27.95" customHeight="1" x14ac:dyDescent="0.3">
      <c r="A10" s="51" t="s">
        <v>19</v>
      </c>
      <c r="B10" s="51" t="s">
        <v>690</v>
      </c>
      <c r="C10" s="52" t="s">
        <v>703</v>
      </c>
    </row>
    <row r="11" spans="1:3" ht="27.95" customHeight="1" x14ac:dyDescent="0.3">
      <c r="A11" s="51" t="s">
        <v>19</v>
      </c>
      <c r="B11" s="51" t="s">
        <v>692</v>
      </c>
      <c r="C11" s="52" t="s">
        <v>704</v>
      </c>
    </row>
    <row r="12" spans="1:3" ht="27.95" customHeight="1" x14ac:dyDescent="0.3">
      <c r="A12" s="51" t="s">
        <v>19</v>
      </c>
      <c r="B12" s="51" t="s">
        <v>27</v>
      </c>
      <c r="C12" s="52" t="s">
        <v>705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00_기능별 현황</vt:lpstr>
      <vt:lpstr>01_전체 케이스</vt:lpstr>
      <vt:lpstr>02_Admin-PMS 연계</vt:lpstr>
      <vt:lpstr>03_E2E 결과</vt:lpstr>
      <vt:lpstr>04_결함 및 수정</vt:lpstr>
      <vt:lpstr>05_페이지_API_DB 추적</vt:lpstr>
      <vt:lpstr>99_코드맵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2026-07-23T00:41:45Z</dcterms:created>
  <dcterms:modified xsi:type="dcterms:W3CDTF">2026-07-23T01:45:15Z</dcterms:modified>
</cp:coreProperties>
</file>