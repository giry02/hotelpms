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9925ce40894fcf" /></Relationships>
</file>

<file path=xl/workbook.xml><?xml version="1.0" encoding="utf-8"?>
<x:workbook xmlns:x="http://schemas.openxmlformats.org/spreadsheetml/2006/main">
  <x:sheets>
    <x:sheet xmlns:r="http://schemas.openxmlformats.org/officeDocument/2006/relationships" name="00_요약" sheetId="1" r:id="Re55047bc516b4797"/>
    <x:sheet xmlns:r="http://schemas.openxmlformats.org/officeDocument/2006/relationships" name="01_전체케이스" sheetId="2" r:id="R6d267bfae66940a0"/>
    <x:sheet xmlns:r="http://schemas.openxmlformats.org/officeDocument/2006/relationships" name="02_수정내역" sheetId="3" r:id="R22408b8bc4ab4ce4"/>
    <x:sheet xmlns:r="http://schemas.openxmlformats.org/officeDocument/2006/relationships" name="03_차단항목" sheetId="4" r:id="Raa336e20b64d4fcc"/>
    <x:sheet xmlns:r="http://schemas.openxmlformats.org/officeDocument/2006/relationships" name="04_영역요약" sheetId="5" r:id="Rb47cd1a7a24c46d9"/>
    <x:sheet xmlns:r="http://schemas.openxmlformats.org/officeDocument/2006/relationships" name="05_검증근거" sheetId="6" r:id="Rf3357cc35f7f4bb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0">
    <x:font>
      <x:sz val="11"/>
      <x:name val="Carlito"/>
    </x:font>
    <x:font>
      <x:b/>
      <x:sz val="18"/>
      <x:color rgb="FFFFFFFF"/>
      <x:name val="Carlito"/>
    </x:font>
    <x:font>
      <x:sz val="10"/>
      <x:color rgb="FF667085"/>
      <x:name val="Carlito"/>
    </x:font>
    <x:font>
      <x:b/>
      <x:sz val="10"/>
      <x:color rgb="FFFFFFFF"/>
      <x:name val="Carlito"/>
    </x:font>
    <x:font>
      <x:sz val="11"/>
      <x:color rgb="FF172033"/>
      <x:name val="Carlito"/>
    </x:font>
    <x:font>
      <x:b/>
      <x:sz val="10"/>
      <x:color rgb="FF667085"/>
      <x:name val="Carlito"/>
    </x:font>
    <x:font>
      <x:sz val="10"/>
      <x:color rgb="FF172033"/>
      <x:name val="Carlito"/>
    </x:font>
    <x:font>
      <x:b/>
      <x:sz val="11"/>
      <x:color rgb="FF0F2747"/>
      <x:name val="Carlito"/>
    </x:font>
    <x:font>
      <x:sz val="9"/>
      <x:color rgb="FF172033"/>
      <x:name val="Carlito"/>
    </x:font>
    <x:font>
      <x:b/>
      <x:sz val="9"/>
      <x:color rgb="FFB7791F"/>
      <x:name val="Carlito"/>
    </x:font>
  </x:fonts>
  <x:fills count="7">
    <x:fill>
      <x:patternFill patternType="none"/>
    </x:fill>
    <x:fill>
      <x:patternFill patternType="gray125"/>
    </x:fill>
    <x:fill>
      <x:patternFill patternType="solid">
        <x:fgColor rgb="FF0F2747"/>
      </x:patternFill>
    </x:fill>
    <x:fill>
      <x:patternFill patternType="solid">
        <x:fgColor rgb="FFEAF2FF"/>
      </x:patternFill>
    </x:fill>
    <x:fill>
      <x:patternFill patternType="solid">
        <x:fgColor rgb="FFFFFFFF"/>
      </x:patternFill>
    </x:fill>
    <x:fill>
      <x:patternFill patternType="solid">
        <x:fgColor rgb="FFF5F8FC"/>
      </x:patternFill>
    </x:fill>
    <x:fill>
      <x:patternFill patternType="solid">
        <x:fgColor rgb="FFFFF5D9"/>
      </x:patternFill>
    </x:fill>
  </x:fills>
  <x:borders count="13">
    <x:border/>
    <x:border>
      <x:left style="thin">
        <x:color rgb="FF0F2747"/>
      </x:left>
      <x:top style="thin">
        <x:color rgb="FF0F2747"/>
      </x:top>
      <x:bottom style="thin">
        <x:color rgb="FF0F2747"/>
      </x:bottom>
    </x:border>
    <x:border>
      <x:right style="thin">
        <x:color rgb="FF0F2747"/>
      </x:right>
      <x:top style="thin">
        <x:color rgb="FF0F2747"/>
      </x:top>
      <x:bottom style="thin">
        <x:color rgb="FF0F2747"/>
      </x:bottom>
    </x:border>
    <x:border>
      <x:bottom style="thin">
        <x:color rgb="FFD7DFEA"/>
      </x:bottom>
    </x:border>
    <x:border>
      <x:top style="thin">
        <x:color rgb="FFD7DFEA"/>
      </x:top>
      <x:bottom style="thin">
        <x:color rgb="FFD7DFEA"/>
      </x:bottom>
    </x:border>
    <x:border>
      <x:top style="thin">
        <x:color rgb="FFD7DFEA"/>
      </x:top>
    </x:border>
    <x:border>
      <x:top style="thin">
        <x:color rgb="FF0F2747"/>
      </x:top>
      <x:bottom style="thin">
        <x:color rgb="FF0F2747"/>
      </x:bottom>
    </x:border>
    <x:border>
      <x:left style="thin">
        <x:color rgb="FFD7DFEA"/>
      </x:left>
      <x:top style="thin">
        <x:color rgb="FFD7DFEA"/>
      </x:top>
    </x:border>
    <x:border>
      <x:right style="thin">
        <x:color rgb="FFD7DFEA"/>
      </x:right>
      <x:top style="thin">
        <x:color rgb="FFD7DFEA"/>
      </x:top>
    </x:border>
    <x:border>
      <x:left style="thin">
        <x:color rgb="FFD7DFEA"/>
      </x:left>
    </x:border>
    <x:border>
      <x:right style="thin">
        <x:color rgb="FFD7DFEA"/>
      </x:right>
    </x:border>
    <x:border>
      <x:left style="thin">
        <x:color rgb="FFD7DFEA"/>
      </x:left>
      <x:bottom style="thin">
        <x:color rgb="FFD7DFEA"/>
      </x:bottom>
    </x:border>
    <x:border>
      <x:right style="thin">
        <x:color rgb="FFD7DFEA"/>
      </x:right>
      <x:bottom style="thin">
        <x:color rgb="FFD7DFEA"/>
      </x:bottom>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3" xfId="0" applyNumberFormat="1" applyFont="1" applyFill="1" applyBorder="1" applyAlignment="1">
      <x:alignment vertical="center"/>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200" fontId="4" fillId="4" borderId="3" xfId="0" applyNumberFormat="1" applyFont="1" applyFill="1" applyBorder="1" applyAlignment="1">
      <x:alignment vertical="center"/>
    </x:xf>
    <x:xf numFmtId="200" fontId="4" fillId="4" borderId="4" xfId="0" applyNumberFormat="1" applyFont="1" applyFill="1" applyBorder="1" applyAlignment="1">
      <x:alignment vertical="center"/>
    </x:xf>
    <x:xf numFmtId="201" fontId="4" fillId="4" borderId="5"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5" xfId="0" applyNumberFormat="1" applyFont="1" applyFill="1" applyBorder="1" applyAlignment="1">
      <x:alignment vertical="center"/>
    </x:xf>
    <x:xf numFmtId="0" fontId="3" fillId="2" borderId="6" xfId="0" applyNumberFormat="1" applyFont="1" applyFill="1" applyBorder="1"/>
    <x:xf numFmtId="0" fontId="3" fillId="2" borderId="6" xfId="0" applyNumberFormat="1" applyFont="1" applyFill="1" applyBorder="1" applyAlignment="1">
      <x:alignment wrapText="1"/>
    </x:xf>
    <x:xf numFmtId="0" fontId="3" fillId="2" borderId="6" xfId="0" applyNumberFormat="1" applyFont="1" applyFill="1" applyBorder="1" applyAlignment="1">
      <x:alignment horizontal="center" wrapText="1"/>
    </x:xf>
    <x:xf numFmtId="0" fontId="3" fillId="2" borderId="6" xfId="0" applyNumberFormat="1" applyFont="1" applyFill="1" applyBorder="1" applyAlignment="1">
      <x:alignment horizontal="center" vertical="center" wrapText="1"/>
    </x:xf>
    <x:xf numFmtId="0" fontId="0" fillId="5" borderId="0" xfId="0" applyNumberFormat="1" applyFont="1" applyFill="1" applyBorder="1"/>
    <x:xf numFmtId="0" fontId="6" fillId="5" borderId="0" xfId="0" applyNumberFormat="1" applyFont="1" applyFill="1" applyBorder="1"/>
    <x:xf numFmtId="0" fontId="6" fillId="5" borderId="7" xfId="0" applyNumberFormat="1" applyFont="1" applyFill="1" applyBorder="1"/>
    <x:xf numFmtId="0" fontId="6" fillId="5" borderId="5"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3" xfId="0" applyNumberFormat="1" applyFont="1" applyFill="1" applyBorder="1"/>
    <x:xf numFmtId="0" fontId="6" fillId="5" borderId="12" xfId="0" applyNumberFormat="1" applyFont="1" applyFill="1" applyBorder="1"/>
    <x:xf numFmtId="0" fontId="6" fillId="5" borderId="7"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8"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7"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8"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6" fillId="5" borderId="12" xfId="0" applyNumberFormat="1" applyFont="1" applyFill="1" applyBorder="1" applyAlignment="1">
      <x:alignment vertical="top" wrapText="1"/>
    </x:xf>
    <x:xf numFmtId="0" fontId="7" fillId="3" borderId="0" xfId="0" applyNumberFormat="1" applyFont="1" applyFill="1" applyBorder="1"/>
    <x:xf numFmtId="0" fontId="8" fillId="0" borderId="0" xfId="0" applyNumberFormat="1" applyFont="1" applyFill="1" applyBorder="1"/>
    <x:xf numFmtId="0" fontId="8" fillId="0" borderId="3"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200" fontId="8" fillId="0" borderId="3" xfId="0" applyNumberFormat="1" applyFont="1" applyFill="1" applyBorder="1" applyAlignment="1">
      <x:alignment vertical="top" wrapText="1"/>
    </x:xf>
    <x:xf numFmtId="200" fontId="8" fillId="0" borderId="4" xfId="0" applyNumberFormat="1" applyFont="1" applyFill="1" applyBorder="1" applyAlignment="1">
      <x:alignment vertical="top" wrapText="1"/>
    </x:xf>
    <x:xf numFmtId="200" fontId="8" fillId="0" borderId="5" xfId="0" applyNumberFormat="1" applyFont="1" applyFill="1" applyBorder="1" applyAlignment="1">
      <x:alignment vertical="top" wrapText="1"/>
    </x:xf>
    <x:xf numFmtId="200" fontId="8" fillId="0" borderId="3" xfId="0" applyNumberFormat="1" applyFont="1" applyFill="1" applyBorder="1" applyAlignment="1">
      <x:alignment horizontal="center" vertical="top" wrapText="1"/>
    </x:xf>
    <x:xf numFmtId="0" fontId="8" fillId="0" borderId="3" xfId="0" applyNumberFormat="1" applyFont="1" applyFill="1" applyBorder="1" applyAlignment="1">
      <x:alignment horizontal="center" vertical="top" wrapText="1"/>
    </x:xf>
    <x:xf numFmtId="200" fontId="8" fillId="0" borderId="4" xfId="0" applyNumberFormat="1" applyFont="1" applyFill="1" applyBorder="1" applyAlignment="1">
      <x:alignment horizontal="center" vertical="top" wrapText="1"/>
    </x:xf>
    <x:xf numFmtId="0" fontId="8" fillId="0" borderId="4" xfId="0" applyNumberFormat="1" applyFont="1" applyFill="1" applyBorder="1" applyAlignment="1">
      <x:alignment horizontal="center" vertical="top" wrapText="1"/>
    </x:xf>
    <x:xf numFmtId="200" fontId="8" fillId="0" borderId="5" xfId="0" applyNumberFormat="1" applyFont="1" applyFill="1" applyBorder="1" applyAlignment="1">
      <x:alignment horizontal="center" vertical="top" wrapText="1"/>
    </x:xf>
    <x:xf numFmtId="0" fontId="8" fillId="0" borderId="5" xfId="0" applyNumberFormat="1" applyFont="1" applyFill="1" applyBorder="1" applyAlignment="1">
      <x:alignment horizontal="center" vertical="top" wrapText="1"/>
    </x:xf>
    <x:xf numFmtId="0" fontId="8" fillId="6" borderId="3"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8" fillId="6" borderId="5" xfId="0" applyNumberFormat="1" applyFont="1" applyFill="1" applyBorder="1" applyAlignment="1">
      <x:alignment vertical="top" wrapText="1"/>
    </x:xf>
    <x:xf numFmtId="0" fontId="9" fillId="6" borderId="3" xfId="0" applyNumberFormat="1" applyFont="1" applyFill="1" applyBorder="1" applyAlignment="1">
      <x:alignment vertical="top" wrapText="1"/>
    </x:xf>
    <x:xf numFmtId="0" fontId="9" fillId="6" borderId="4" xfId="0" applyNumberFormat="1" applyFont="1" applyFill="1" applyBorder="1" applyAlignment="1">
      <x:alignment vertical="top" wrapText="1"/>
    </x:xf>
    <x:xf numFmtId="0" fontId="9" fillId="6" borderId="5" xfId="0" applyNumberFormat="1" applyFont="1" applyFill="1" applyBorder="1" applyAlignment="1">
      <x:alignment vertical="top" wrapText="1"/>
    </x:xf>
    <x:xf numFmtId="0" fontId="9" fillId="6" borderId="3" xfId="0" applyNumberFormat="1" applyFont="1" applyFill="1" applyBorder="1" applyAlignment="1">
      <x:alignment horizontal="center" vertical="top" wrapText="1"/>
    </x:xf>
    <x:xf numFmtId="0" fontId="9" fillId="6" borderId="4" xfId="0" applyNumberFormat="1" applyFont="1" applyFill="1" applyBorder="1" applyAlignment="1">
      <x:alignment horizontal="center" vertical="top" wrapText="1"/>
    </x:xf>
    <x:xf numFmtId="0" fontId="9" fillId="6" borderId="5" xfId="0" applyNumberFormat="1" applyFont="1" applyFill="1" applyBorder="1" applyAlignment="1">
      <x:alignment horizontal="center" vertical="top" wrapText="1"/>
    </x:xf>
    <x:xf numFmtId="201" fontId="8" fillId="0" borderId="3" xfId="0" applyNumberFormat="1" applyFont="1" applyFill="1" applyBorder="1" applyAlignment="1">
      <x:alignment vertical="top" wrapText="1"/>
    </x:xf>
    <x:xf numFmtId="201" fontId="8" fillId="0" borderId="4" xfId="0" applyNumberFormat="1" applyFont="1" applyFill="1" applyBorder="1" applyAlignment="1">
      <x:alignment vertical="top" wrapText="1"/>
    </x:xf>
    <x:xf numFmtId="201" fontId="8" fillId="0" borderId="5" xfId="0" applyNumberFormat="1" applyFont="1" applyFill="1" applyBorder="1" applyAlignment="1">
      <x:alignment vertical="top" wrapText="1"/>
    </x:xf>
  </x:cellXfs>
  <x:cellStyles count="1">
    <x:cellStyle name="Normal" xfId="0"/>
  </x:cellStyles>
  <x:dxfs count="7">
    <x:dxf>
      <x:font>
        <x:b/>
        <x:color rgb="FF0F9F6E"/>
      </x:font>
      <x:fill>
        <x:patternFill patternType="solid">
          <x:bgColor rgb="FFE7F8F1"/>
        </x:patternFill>
      </x:fill>
    </x:dxf>
    <x:dxf>
      <x:font>
        <x:b/>
        <x:color rgb="FFB7791F"/>
      </x:font>
      <x:fill>
        <x:patternFill patternType="solid">
          <x:bgColor rgb="FFFFF5D9"/>
        </x:patternFill>
      </x:fill>
    </x:dxf>
    <x:dxf>
      <x:font>
        <x:b/>
        <x:color rgb="FFC53030"/>
      </x:font>
      <x:fill>
        <x:patternFill patternType="solid">
          <x:bgColor rgb="FFFDECEC"/>
        </x:patternFill>
      </x:fill>
    </x:dxf>
    <x:dxf>
      <x:font>
        <x:b/>
        <x:color rgb="FF2563EB"/>
      </x:font>
      <x:fill>
        <x:patternFill patternType="solid">
          <x:bgColor rgb="FFEAF2FF"/>
        </x:patternFill>
      </x:fill>
    </x:dxf>
    <x:dxf>
      <x:font>
        <x:b/>
        <x:color rgb="FF0F9F6E"/>
      </x:font>
      <x:fill>
        <x:patternFill patternType="solid">
          <x:bgColor rgb="FFE7F8F1"/>
        </x:patternFill>
      </x:fill>
    </x:dxf>
    <x:dxf>
      <x:font>
        <x:b/>
        <x:color rgb="FF0F9F6E"/>
      </x:font>
      <x:fill>
        <x:patternFill patternType="solid">
          <x:bgColor rgb="FFE7F8F1"/>
        </x:patternFill>
      </x:fill>
    </x:dxf>
    <x:dxf>
      <x:font>
        <x:b/>
        <x:color rgb="FFB7791F"/>
      </x:font>
      <x:fill>
        <x:patternFill patternType="solid">
          <x:bgColor rgb="FFFFF5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eb7b48e0ed42d0" /><Relationship Type="http://schemas.openxmlformats.org/officeDocument/2006/relationships/theme" Target="/xl/theme/theme1.xml" Id="R94292dc5b6d6401d" /><Relationship Type="http://schemas.openxmlformats.org/officeDocument/2006/relationships/sharedStrings" Target="/xl/sharedStrings.xml" Id="R738e28045910427a" /><Relationship Type="http://schemas.openxmlformats.org/officeDocument/2006/relationships/worksheet" Target="/xl/worksheets/sheet1.xml" Id="Re55047bc516b4797" /><Relationship Type="http://schemas.openxmlformats.org/officeDocument/2006/relationships/worksheet" Target="/xl/worksheets/sheet2.xml" Id="R6d267bfae66940a0" /><Relationship Type="http://schemas.openxmlformats.org/officeDocument/2006/relationships/worksheet" Target="/xl/worksheets/sheet3.xml" Id="R22408b8bc4ab4ce4" /><Relationship Type="http://schemas.openxmlformats.org/officeDocument/2006/relationships/worksheet" Target="/xl/worksheets/sheet4.xml" Id="Raa336e20b64d4fcc" /><Relationship Type="http://schemas.openxmlformats.org/officeDocument/2006/relationships/worksheet" Target="/xl/worksheets/sheet5.xml" Id="Rb47cd1a7a24c46d9" /><Relationship Type="http://schemas.openxmlformats.org/officeDocument/2006/relationships/worksheet" Target="/xl/worksheets/sheet6.xml" Id="Rf3357cc35f7f4bbb" /></Relationships>
</file>

<file path=xl/tables/table1.xml><?xml version="1.0" encoding="utf-8"?>
<x:table xmlns:x="http://schemas.openxmlformats.org/spreadsheetml/2006/main" id="1" name="AllTestCases" displayName="AllTestCases" ref="A4:P677" headerRowCount="1" totalsRowCount="0" totalsRowShown="0">
  <x:autoFilter ref="A4:P677"/>
  <x:tableColumns count="16">
    <x:tableColumn id="1" name="No"/>
    <x:tableColumn id="2" name="Case ID"/>
    <x:tableColumn id="3" name="영역"/>
    <x:tableColumn id="4" name="우선순위"/>
    <x:tableColumn id="5" name="화면/범위"/>
    <x:tableColumn id="6" name="페이지 경로"/>
    <x:tableColumn id="7" name="테스트 시나리오"/>
    <x:tableColumn id="8" name="기대 결과"/>
    <x:tableColumn id="9" name="최종 판정"/>
    <x:tableColumn id="10" name="성공/실패"/>
    <x:tableColumn id="11" name="수정 여부"/>
    <x:tableColumn id="12" name="수정 내용"/>
    <x:tableColumn id="13" name="실패/차단 내용"/>
    <x:tableColumn id="14" name="초기 실패 원인"/>
    <x:tableColumn id="15" name="실제 검증 결과"/>
    <x:tableColumn id="16" name="증적"/>
  </x:tableColumns>
  <x:tableStyleInfo name="TableStyleMedium2" showFirstColumn="0" showLastColumn="0" showRowStripes="1" showColumnStripes="0"/>
</x:table>
</file>

<file path=xl/tables/table2.xml><?xml version="1.0" encoding="utf-8"?>
<x:table xmlns:x="http://schemas.openxmlformats.org/spreadsheetml/2006/main" id="2" name="FixedCases" displayName="FixedCases" ref="A4:G63" headerRowCount="1" totalsRowCount="0" totalsRowShown="0">
  <x:autoFilter ref="A4:G63"/>
  <x:tableColumns count="7">
    <x:tableColumn id="1" name="Case ID"/>
    <x:tableColumn id="2" name="영역"/>
    <x:tableColumn id="3" name="페이지/범위"/>
    <x:tableColumn id="4" name="초기 문제·원인"/>
    <x:tableColumn id="5" name="수정 내용"/>
    <x:tableColumn id="6" name="재검증 결과"/>
    <x:tableColumn id="7" name="증적"/>
  </x:tableColumns>
  <x:tableStyleInfo name="TableStyleMedium4" showFirstColumn="0" showLastColumn="0" showRowStripes="1" showColumnStripes="0"/>
</x:table>
</file>

<file path=xl/tables/table3.xml><?xml version="1.0" encoding="utf-8"?>
<x:table xmlns:x="http://schemas.openxmlformats.org/spreadsheetml/2006/main" id="3" name="BlockedCases" displayName="BlockedCases" ref="A4:H17" headerRowCount="1" totalsRowCount="0" totalsRowShown="0">
  <x:autoFilter ref="A4:H17"/>
  <x:tableColumns count="8">
    <x:tableColumn id="1" name="Case ID"/>
    <x:tableColumn id="2" name="영역"/>
    <x:tableColumn id="3" name="페이지/범위"/>
    <x:tableColumn id="4" name="차단 분류"/>
    <x:tableColumn id="5" name="차단 내용"/>
    <x:tableColumn id="6" name="필요한 후속 검증"/>
    <x:tableColumn id="7" name="현재 확인 범위"/>
    <x:tableColumn id="8" name="증적"/>
  </x:tableColumns>
  <x:tableStyleInfo name="TableStyleMedium9" showFirstColumn="0" showLastColumn="0" showRowStripes="1" showColumnStripes="0"/>
</x:table>
</file>

<file path=xl/tables/table4.xml><?xml version="1.0" encoding="utf-8"?>
<x:table xmlns:x="http://schemas.openxmlformats.org/spreadsheetml/2006/main" id="4" name="AreaSummary" displayName="AreaSummary" ref="A4:G43" headerRowCount="1" totalsRowCount="0" totalsRowShown="0">
  <x:autoFilter ref="A4:G43"/>
  <x:tableColumns count="7">
    <x:tableColumn id="1" name="영역"/>
    <x:tableColumn id="2" name="전체"/>
    <x:tableColumn id="3" name="PASS"/>
    <x:tableColumn id="4" name="FAIL"/>
    <x:tableColumn id="5" name="BLOCKED"/>
    <x:tableColumn id="6" name="수정 완료"/>
    <x:tableColumn id="7" name="실행 성공률"/>
  </x:tableColumns>
  <x:tableStyleInfo name="TableStyleMedium2" showFirstColumn="0" showLastColumn="0" showRowStripes="1" showColumnStripes="0"/>
</x:table>
</file>

<file path=xl/tables/table5.xml><?xml version="1.0" encoding="utf-8"?>
<x:table xmlns:x="http://schemas.openxmlformats.org/spreadsheetml/2006/main" id="5" name="EvidenceList" displayName="EvidenceList" ref="A4:D17" headerRowCount="1" totalsRowCount="0" totalsRowShown="0">
  <x:autoFilter ref="A4:D17"/>
  <x:tableColumns count="4">
    <x:tableColumn id="1" name="증적 파일"/>
    <x:tableColumn id="2" name="검증 범위"/>
    <x:tableColumn id="3" name="결과"/>
    <x:tableColumn id="4" name="비고"/>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390c3fe1764701" /></Relationships>
</file>

<file path=xl/worksheets/_rels/sheet3.xml.rels>&#65279;<?xml version="1.0" encoding="utf-8"?><Relationships xmlns="http://schemas.openxmlformats.org/package/2006/relationships"><Relationship Type="http://schemas.openxmlformats.org/officeDocument/2006/relationships/table" Target="/xl/tables/table2.xml" Id="R70a7a9fe127e4096" /></Relationships>
</file>

<file path=xl/worksheets/_rels/sheet4.xml.rels>&#65279;<?xml version="1.0" encoding="utf-8"?><Relationships xmlns="http://schemas.openxmlformats.org/package/2006/relationships"><Relationship Type="http://schemas.openxmlformats.org/officeDocument/2006/relationships/table" Target="/xl/tables/table3.xml" Id="R866e246adb5d4481" /></Relationships>
</file>

<file path=xl/worksheets/_rels/sheet5.xml.rels>&#65279;<?xml version="1.0" encoding="utf-8"?><Relationships xmlns="http://schemas.openxmlformats.org/package/2006/relationships"><Relationship Type="http://schemas.openxmlformats.org/officeDocument/2006/relationships/table" Target="/xl/tables/table4.xml" Id="R1f00727e79054fb5" /></Relationships>
</file>

<file path=xl/worksheets/_rels/sheet6.xml.rels>&#65279;<?xml version="1.0" encoding="utf-8"?><Relationships xmlns="http://schemas.openxmlformats.org/package/2006/relationships"><Relationship Type="http://schemas.openxmlformats.org/officeDocument/2006/relationships/table" Target="/xl/tables/table5.xml" Id="R2ac4fd48a2044a70"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2.5" hidden="0" customWidth="1"/>
    <x:col min="3" max="3" width="2.5" hidden="0" customWidth="1"/>
    <x:col min="4" max="4" width="18.75" hidden="0" customWidth="1"/>
    <x:col min="5" max="5" width="18.75" hidden="0" customWidth="1"/>
    <x:col min="6" max="6" width="18.75" hidden="0" customWidth="1"/>
    <x:col min="7" max="7" width="18.75" hidden="0" customWidth="1"/>
    <x:col min="8" max="8" width="18.75" hidden="0" customWidth="1"/>
  </x:cols>
  <x:sheetData>
    <x:row r="1" ht="33" customHeight="1">
      <x:c r="A1" s="4" t="str">
        <x:v>Hotel PMS 통합테스트 계획 및 결과</x:v>
      </x:c>
      <x:c r="B1" s="4"/>
      <x:c r="C1" s="4"/>
      <x:c r="D1" s="4"/>
      <x:c r="E1" s="4"/>
      <x:c r="F1" s="4"/>
      <x:c r="G1" s="4"/>
      <x:c r="H1" s="4"/>
    </x:row>
    <x:row r="2" ht="22.5" customHeight="1">
      <x:c r="A2" s="8" t="str">
        <x:v>계획서 전체 673개 케이스의 최종 성공·실패·수정·차단 결과 | 기준일 2026-07-20</x:v>
      </x:c>
      <x:c r="B2" s="8"/>
      <x:c r="C2" s="8"/>
      <x:c r="D2" s="8"/>
      <x:c r="E2" s="8"/>
      <x:c r="F2" s="8"/>
      <x:c r="G2" s="8"/>
      <x:c r="H2" s="8"/>
    </x:row>
    <x:row r="4" ht="27" customHeight="1">
      <x:c r="A4" s="16" t="str">
        <x:v>최종 집계</x:v>
      </x:c>
      <x:c r="B4" s="17" t="str">
        <x:v>결과</x:v>
      </x:c>
      <x:c r="D4" s="16" t="str">
        <x:v>판정 기준 및 해석</x:v>
      </x:c>
      <x:c r="E4" s="35"/>
      <x:c r="F4" s="35"/>
      <x:c r="G4" s="35"/>
      <x:c r="H4" s="17"/>
    </x:row>
    <x:row r="5" ht="18" customHeight="1">
      <x:c r="A5" s="29" t="str">
        <x:v>전체 케이스</x:v>
      </x:c>
      <x:c r="B5" s="26" t="n">
        <x:f>COUNTA('01_전체케이스'!$B$5:$B$677)</x:f>
        <x:v>673</x:v>
      </x:c>
      <x:c r="D5" s="55" t="str">
        <x:v>PASS 660건은 브라우저·데이터·업무 흐름 재검증에서 기대 결과와 일치했습니다. FAIL은 0건입니다. BLOCKED 13건은 결함이 아니라 실제 프린터, 메일, 외부 endpoint, 실제 Admin API 서버처럼 로컬 환경 밖의 검증 장치가 필요한 항목입니다. 전체 240개 뷰포트 시각 검증은 기존 전수 기준에서 PASS였고, 이번 수정 화면은 8/8 재검증했습니다.</x:v>
      </x:c>
      <x:c r="E5" s="56"/>
      <x:c r="F5" s="56"/>
      <x:c r="G5" s="56"/>
      <x:c r="H5" s="57"/>
    </x:row>
    <x:row r="6" ht="18" customHeight="1">
      <x:c r="A6" s="30" t="str">
        <x:v>성공(PASS)</x:v>
      </x:c>
      <x:c r="B6" s="27" t="n">
        <x:f>COUNTIF('01_전체케이스'!$I$5:$I$677,"PASS")</x:f>
        <x:v>660</x:v>
      </x:c>
      <x:c r="D6" s="58"/>
      <x:c r="E6" s="59"/>
      <x:c r="F6" s="59"/>
      <x:c r="G6" s="59"/>
      <x:c r="H6" s="60"/>
    </x:row>
    <x:row r="7" ht="18" customHeight="1">
      <x:c r="A7" s="30" t="str">
        <x:v>실패(FAIL)</x:v>
      </x:c>
      <x:c r="B7" s="27" t="n">
        <x:f>COUNTIF('01_전체케이스'!$I$5:$I$677,"FAIL")</x:f>
        <x:v>0</x:v>
      </x:c>
      <x:c r="D7" s="58"/>
      <x:c r="E7" s="59"/>
      <x:c r="F7" s="59"/>
      <x:c r="G7" s="59"/>
      <x:c r="H7" s="60"/>
    </x:row>
    <x:row r="8" ht="18" customHeight="1">
      <x:c r="A8" s="30" t="str">
        <x:v>차단(BLOCKED)</x:v>
      </x:c>
      <x:c r="B8" s="27" t="n">
        <x:f>COUNTIF('01_전체케이스'!$I$5:$I$677,"BLOCKED")</x:f>
        <x:v>13</x:v>
      </x:c>
      <x:c r="D8" s="58"/>
      <x:c r="E8" s="59"/>
      <x:c r="F8" s="59"/>
      <x:c r="G8" s="59"/>
      <x:c r="H8" s="60"/>
    </x:row>
    <x:row r="9" ht="18" customHeight="1">
      <x:c r="A9" s="30" t="str">
        <x:v>미실행(NOT RUN)</x:v>
      </x:c>
      <x:c r="B9" s="27" t="n">
        <x:f>COUNTIF('01_전체케이스'!$I$5:$I$677,"NOT RUN")</x:f>
        <x:v>0</x:v>
      </x:c>
      <x:c r="D9" s="58"/>
      <x:c r="E9" s="59"/>
      <x:c r="F9" s="59"/>
      <x:c r="G9" s="59"/>
      <x:c r="H9" s="60"/>
    </x:row>
    <x:row r="10" ht="18" customHeight="1">
      <x:c r="A10" s="30" t="str">
        <x:v>수정 완료</x:v>
      </x:c>
      <x:c r="B10" s="27" t="n">
        <x:f>COUNTIF('01_전체케이스'!$K$5:$K$677,"수정 완료")</x:f>
        <x:v>59</x:v>
      </x:c>
      <x:c r="D10" s="58"/>
      <x:c r="E10" s="59"/>
      <x:c r="F10" s="59"/>
      <x:c r="G10" s="59"/>
      <x:c r="H10" s="60"/>
    </x:row>
    <x:row r="11" ht="18" customHeight="1">
      <x:c r="A11" s="31" t="str">
        <x:v>실행 성공률</x:v>
      </x:c>
      <x:c r="B11" s="28" t="n">
        <x:f>B6/(B5-B8)</x:f>
        <x:v>1</x:v>
      </x:c>
      <x:c r="D11" s="61"/>
      <x:c r="E11" s="62"/>
      <x:c r="F11" s="62"/>
      <x:c r="G11" s="62"/>
      <x:c r="H11" s="63"/>
    </x:row>
    <x:row r="13">
      <x:c r="A13" s="64" t="str">
        <x:v>검증 자료</x:v>
      </x:c>
      <x:c r="B13" s="64"/>
      <x:c r="C13" s="64"/>
      <x:c r="D13" s="64"/>
      <x:c r="E13" s="64"/>
      <x:c r="F13" s="64"/>
      <x:c r="G13" s="64"/>
      <x:c r="H13" s="64"/>
    </x:row>
    <x:row r="14">
      <x:c r="A14" s="69" t="str">
        <x:v>통합테스트 계획서</x:v>
      </x:c>
      <x:c r="B14" s="69" t="str">
        <x:v>docs/PMS_FULL_INTEGRATION_TEST_PLAN_20260718.md</x:v>
      </x:c>
    </x:row>
    <x:row r="15">
      <x:c r="A15" s="70" t="str">
        <x:v>최종 결과 보고서</x:v>
      </x:c>
      <x:c r="B15" s="70" t="str">
        <x:v>docs/PMS_FULL_INTEGRATION_TEST_FINAL_20260720.md</x:v>
      </x:c>
    </x:row>
    <x:row r="16">
      <x:c r="A16" s="71" t="str">
        <x:v>원본 케이스 결과</x:v>
      </x:c>
      <x:c r="B16" s="71" t="str">
        <x:v>outputs/full-plan-20260719/results.json</x:v>
      </x:c>
    </x:row>
  </x:sheetData>
  <x:mergeCells>
    <x:mergeCell ref="A1:H1"/>
    <x:mergeCell ref="A2:H2"/>
    <x:mergeCell ref="D4:H4"/>
    <x:mergeCell ref="D5:H11"/>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3.5" hidden="0" customWidth="1"/>
    <x:col min="3" max="3" width="23.1299991607666" hidden="0" customWidth="1"/>
    <x:col min="4" max="4" width="9" hidden="0" customWidth="1"/>
    <x:col min="5" max="5" width="18.75" hidden="0" customWidth="1"/>
    <x:col min="6" max="6" width="26.25" hidden="0" customWidth="1"/>
    <x:col min="7" max="7" width="33.75" hidden="0" customWidth="1"/>
    <x:col min="8" max="8" width="33.75" hidden="0" customWidth="1"/>
    <x:col min="9" max="9" width="11.25" hidden="0" customWidth="1"/>
    <x:col min="10" max="10" width="10.25" hidden="0" customWidth="1"/>
    <x:col min="11" max="11" width="11.75" hidden="0" customWidth="1"/>
    <x:col min="12" max="12" width="37.5" hidden="0" customWidth="1"/>
    <x:col min="13" max="13" width="32.5" hidden="0" customWidth="1"/>
    <x:col min="14" max="14" width="32.5" hidden="0" customWidth="1"/>
    <x:col min="15" max="15" width="33.75" hidden="0" customWidth="1"/>
    <x:col min="16" max="16" width="33.130001068115234" hidden="0" customWidth="1"/>
  </x:cols>
  <x:sheetData>
    <x:row r="1" ht="33" customHeight="1">
      <x:c r="A1" s="4" t="str">
        <x:v>전체 통합테스트 케이스</x:v>
      </x:c>
      <x:c r="B1" s="4"/>
      <x:c r="C1" s="4"/>
      <x:c r="D1" s="4"/>
      <x:c r="E1" s="4"/>
      <x:c r="F1" s="4"/>
      <x:c r="G1" s="4"/>
      <x:c r="H1" s="4"/>
      <x:c r="I1" s="4"/>
      <x:c r="J1" s="4"/>
      <x:c r="K1" s="4"/>
      <x:c r="L1" s="4"/>
      <x:c r="M1" s="4"/>
      <x:c r="N1" s="4"/>
      <x:c r="O1" s="4"/>
      <x:c r="P1" s="4"/>
    </x:row>
    <x:row r="2" ht="22.5" customHeight="1">
      <x:c r="A2" s="8" t="str">
        <x:v>필터로 영역·우선순위·최종 판정·수정 여부를 선택할 수 있습니다.</x:v>
      </x:c>
      <x:c r="B2" s="8"/>
      <x:c r="C2" s="8"/>
      <x:c r="D2" s="8"/>
      <x:c r="E2" s="8"/>
      <x:c r="F2" s="8"/>
      <x:c r="G2" s="8"/>
      <x:c r="H2" s="8"/>
      <x:c r="I2" s="8"/>
      <x:c r="J2" s="8"/>
      <x:c r="K2" s="8"/>
      <x:c r="L2" s="8"/>
      <x:c r="M2" s="8"/>
      <x:c r="N2" s="8"/>
      <x:c r="O2" s="8"/>
      <x:c r="P2" s="8"/>
    </x:row>
    <x:row r="4" ht="27" customHeight="1">
      <x:c r="A4" s="16" t="str">
        <x:v>No</x:v>
      </x:c>
      <x:c r="B4" s="35" t="str">
        <x:v>Case ID</x:v>
      </x:c>
      <x:c r="C4" s="35" t="str">
        <x:v>영역</x:v>
      </x:c>
      <x:c r="D4" s="35" t="str">
        <x:v>우선순위</x:v>
      </x:c>
      <x:c r="E4" s="35" t="str">
        <x:v>화면/범위</x:v>
      </x:c>
      <x:c r="F4" s="35" t="str">
        <x:v>페이지 경로</x:v>
      </x:c>
      <x:c r="G4" s="35" t="str">
        <x:v>테스트 시나리오</x:v>
      </x:c>
      <x:c r="H4" s="35" t="str">
        <x:v>기대 결과</x:v>
      </x:c>
      <x:c r="I4" s="35" t="str">
        <x:v>최종 판정</x:v>
      </x:c>
      <x:c r="J4" s="35" t="str">
        <x:v>성공/실패</x:v>
      </x:c>
      <x:c r="K4" s="35" t="str">
        <x:v>수정 여부</x:v>
      </x:c>
      <x:c r="L4" s="35" t="str">
        <x:v>수정 내용</x:v>
      </x:c>
      <x:c r="M4" s="35" t="str">
        <x:v>실패/차단 내용</x:v>
      </x:c>
      <x:c r="N4" s="35" t="str">
        <x:v>초기 실패 원인</x:v>
      </x:c>
      <x:c r="O4" s="35" t="str">
        <x:v>실제 검증 결과</x:v>
      </x:c>
      <x:c r="P4" s="17" t="str">
        <x:v>증적</x:v>
      </x:c>
    </x:row>
    <x:row r="5">
      <x:c r="A5" s="78" t="n">
        <x:v>1</x:v>
      </x:c>
      <x:c r="B5" s="79" t="str">
        <x:v>COM-PAGE-001</x:v>
      </x:c>
      <x:c r="C5" s="72" t="str">
        <x:v>6. 모든 페이지 공통 테스트 케이스</x:v>
      </x:c>
      <x:c r="D5" s="79" t="str">
        <x:v>P0</x:v>
      </x:c>
      <x:c r="E5" s="72" t="str"/>
      <x:c r="F5" s="72" t="str"/>
      <x:c r="G5" s="72" t="str">
        <x:v>직접 URL 및 메뉴 진입</x:v>
      </x:c>
      <x:c r="H5" s="72" t="str">
        <x:v>빈 화면, 리다이렉트 반복, 4xx/5xx 없이 페이지 로드</x:v>
      </x:c>
      <x:c r="I5" s="79" t="str">
        <x:v>PASS</x:v>
      </x:c>
      <x:c r="J5" s="79" t="str">
        <x:v>성공</x:v>
      </x:c>
      <x:c r="K5" s="79" t="str">
        <x:v>수정 없음</x:v>
      </x:c>
      <x:c r="L5" s="72" t="str"/>
      <x:c r="M5" s="72" t="str"/>
      <x:c r="N5" s="72" t="str"/>
      <x:c r="O5" s="72" t="str">
        <x:v>기대 결과와 일치</x:v>
      </x:c>
      <x:c r="P5" s="72" t="str">
        <x:v>01-smoke-all-pages.log, 02-smoke-interactions.log, 03-smoke-inputs-ko.log, 04-smoke-inputs-en.log, 14-storage-writes.log</x:v>
      </x:c>
    </x:row>
    <x:row r="6">
      <x:c r="A6" s="80" t="n">
        <x:v>2</x:v>
      </x:c>
      <x:c r="B6" s="81" t="str">
        <x:v>COM-PAGE-002</x:v>
      </x:c>
      <x:c r="C6" s="73" t="str">
        <x:v>6. 모든 페이지 공통 테스트 케이스</x:v>
      </x:c>
      <x:c r="D6" s="81" t="str">
        <x:v>P0</x:v>
      </x:c>
      <x:c r="E6" s="73" t="str"/>
      <x:c r="F6" s="73" t="str"/>
      <x:c r="G6" s="73" t="str">
        <x:v>초기 데이터 로딩</x:v>
      </x:c>
      <x:c r="H6" s="73" t="str">
        <x:v>로딩 후 목록/KPI/빈 상태 중 하나가 명확히 표시</x:v>
      </x:c>
      <x:c r="I6" s="81" t="str">
        <x:v>PASS</x:v>
      </x:c>
      <x:c r="J6" s="81" t="str">
        <x:v>성공</x:v>
      </x:c>
      <x:c r="K6" s="81" t="str">
        <x:v>수정 없음</x:v>
      </x:c>
      <x:c r="L6" s="73" t="str"/>
      <x:c r="M6" s="73" t="str"/>
      <x:c r="N6" s="73" t="str"/>
      <x:c r="O6" s="73" t="str">
        <x:v>기대 결과와 일치</x:v>
      </x:c>
      <x:c r="P6" s="73" t="str">
        <x:v>01-smoke-all-pages.log, 02-smoke-interactions.log, 03-smoke-inputs-ko.log, 04-smoke-inputs-en.log, 14-storage-writes.log</x:v>
      </x:c>
    </x:row>
    <x:row r="7">
      <x:c r="A7" s="80" t="n">
        <x:v>3</x:v>
      </x:c>
      <x:c r="B7" s="81" t="str">
        <x:v>COM-PAGE-003</x:v>
      </x:c>
      <x:c r="C7" s="73" t="str">
        <x:v>6. 모든 페이지 공통 테스트 케이스</x:v>
      </x:c>
      <x:c r="D7" s="81" t="str">
        <x:v>P0</x:v>
      </x:c>
      <x:c r="E7" s="73" t="str"/>
      <x:c r="F7" s="73" t="str"/>
      <x:c r="G7" s="73" t="str">
        <x:v>모든 visible 버튼 1회 클릭</x:v>
      </x:c>
      <x:c r="H7" s="73" t="str">
        <x:v>클릭 무반응, 잘못된 팝업, 잘못된 대상 선택이 없음</x:v>
      </x:c>
      <x:c r="I7" s="81" t="str">
        <x:v>PASS</x:v>
      </x:c>
      <x:c r="J7" s="81" t="str">
        <x:v>성공</x:v>
      </x:c>
      <x:c r="K7" s="81" t="str">
        <x:v>수정 없음</x:v>
      </x:c>
      <x:c r="L7" s="73" t="str"/>
      <x:c r="M7" s="73" t="str"/>
      <x:c r="N7" s="73" t="str"/>
      <x:c r="O7" s="73" t="str">
        <x:v>기대 결과와 일치</x:v>
      </x:c>
      <x:c r="P7" s="73" t="str">
        <x:v>01-smoke-all-pages.log, 02-smoke-interactions.log, 03-smoke-inputs-ko.log, 04-smoke-inputs-en.log, 14-storage-writes.log</x:v>
      </x:c>
    </x:row>
    <x:row r="8">
      <x:c r="A8" s="80" t="n">
        <x:v>4</x:v>
      </x:c>
      <x:c r="B8" s="81" t="str">
        <x:v>COM-PAGE-004</x:v>
      </x:c>
      <x:c r="C8" s="73" t="str">
        <x:v>6. 모든 페이지 공통 테스트 케이스</x:v>
      </x:c>
      <x:c r="D8" s="81" t="str">
        <x:v>P0</x:v>
      </x:c>
      <x:c r="E8" s="73" t="str"/>
      <x:c r="F8" s="73" t="str"/>
      <x:c r="G8" s="73" t="str">
        <x:v>모든 input/select/textarea 입력</x:v>
      </x:c>
      <x:c r="H8" s="73" t="str">
        <x:v>입력, 선택, 날짜, 숫자 제약이 의도대로 작동</x:v>
      </x:c>
      <x:c r="I8" s="81" t="str">
        <x:v>PASS</x:v>
      </x:c>
      <x:c r="J8" s="81" t="str">
        <x:v>성공</x:v>
      </x:c>
      <x:c r="K8" s="81" t="str">
        <x:v>수정 없음</x:v>
      </x:c>
      <x:c r="L8" s="73" t="str"/>
      <x:c r="M8" s="73" t="str"/>
      <x:c r="N8" s="73" t="str"/>
      <x:c r="O8" s="73" t="str">
        <x:v>기대 결과와 일치</x:v>
      </x:c>
      <x:c r="P8" s="73" t="str">
        <x:v>01-smoke-all-pages.log, 02-smoke-interactions.log, 03-smoke-inputs-ko.log, 04-smoke-inputs-en.log, 14-storage-writes.log</x:v>
      </x:c>
    </x:row>
    <x:row r="9">
      <x:c r="A9" s="80" t="n">
        <x:v>5</x:v>
      </x:c>
      <x:c r="B9" s="81" t="str">
        <x:v>COM-PAGE-005</x:v>
      </x:c>
      <x:c r="C9" s="73" t="str">
        <x:v>6. 모든 페이지 공통 테스트 케이스</x:v>
      </x:c>
      <x:c r="D9" s="81" t="str">
        <x:v>P0</x:v>
      </x:c>
      <x:c r="E9" s="73" t="str"/>
      <x:c r="F9" s="73" t="str"/>
      <x:c r="G9" s="73" t="str">
        <x:v>등록/수정/삭제/상태 변경 후 재진입</x:v>
      </x:c>
      <x:c r="H9" s="73" t="str">
        <x:v>팝업 재오픈, 메뉴 이동, 새로고침 후 결과 유지</x:v>
      </x:c>
      <x:c r="I9" s="81" t="str">
        <x:v>PASS</x:v>
      </x:c>
      <x:c r="J9" s="81" t="str">
        <x:v>성공</x:v>
      </x:c>
      <x:c r="K9" s="81" t="str">
        <x:v>수정 없음</x:v>
      </x:c>
      <x:c r="L9" s="73" t="str"/>
      <x:c r="M9" s="73" t="str"/>
      <x:c r="N9" s="73" t="str"/>
      <x:c r="O9" s="73" t="str">
        <x:v>기대 결과와 일치</x:v>
      </x:c>
      <x:c r="P9" s="73" t="str">
        <x:v>01-smoke-all-pages.log, 02-smoke-interactions.log, 03-smoke-inputs-ko.log, 04-smoke-inputs-en.log, 14-storage-writes.log</x:v>
      </x:c>
    </x:row>
    <x:row r="10">
      <x:c r="A10" s="80" t="n">
        <x:v>6</x:v>
      </x:c>
      <x:c r="B10" s="81" t="str">
        <x:v>COM-PAGE-006</x:v>
      </x:c>
      <x:c r="C10" s="73" t="str">
        <x:v>6. 모든 페이지 공통 테스트 케이스</x:v>
      </x:c>
      <x:c r="D10" s="81" t="str">
        <x:v>P0</x:v>
      </x:c>
      <x:c r="E10" s="73" t="str"/>
      <x:c r="F10" s="73" t="str"/>
      <x:c r="G10" s="73" t="str">
        <x:v>잘못된 값/필수값 누락</x:v>
      </x:c>
      <x:c r="H10" s="73" t="str">
        <x:v>저장되지 않고 해당 필드 근처에 이해 가능한 오류 표시</x:v>
      </x:c>
      <x:c r="I10" s="81" t="str">
        <x:v>PASS</x:v>
      </x:c>
      <x:c r="J10" s="81" t="str">
        <x:v>성공</x:v>
      </x:c>
      <x:c r="K10" s="81" t="str">
        <x:v>수정 없음</x:v>
      </x:c>
      <x:c r="L10" s="73" t="str"/>
      <x:c r="M10" s="73" t="str"/>
      <x:c r="N10" s="73" t="str"/>
      <x:c r="O10" s="73" t="str">
        <x:v>기대 결과와 일치</x:v>
      </x:c>
      <x:c r="P10" s="73" t="str">
        <x:v>01-smoke-all-pages.log, 02-smoke-interactions.log, 03-smoke-inputs-ko.log, 04-smoke-inputs-en.log, 14-storage-writes.log</x:v>
      </x:c>
    </x:row>
    <x:row r="11">
      <x:c r="A11" s="80" t="n">
        <x:v>7</x:v>
      </x:c>
      <x:c r="B11" s="81" t="str">
        <x:v>COM-PAGE-007</x:v>
      </x:c>
      <x:c r="C11" s="73" t="str">
        <x:v>6. 모든 페이지 공통 테스트 케이스</x:v>
      </x:c>
      <x:c r="D11" s="81" t="str">
        <x:v>P0</x:v>
      </x:c>
      <x:c r="E11" s="73" t="str"/>
      <x:c r="F11" s="73" t="str"/>
      <x:c r="G11" s="73" t="str">
        <x:v>민감 작업 권한 차단</x:v>
      </x:c>
      <x:c r="H11" s="73" t="str">
        <x:v>권한 없는 역할은 버튼 미노출 또는 실행 차단</x:v>
      </x:c>
      <x:c r="I11" s="81" t="str">
        <x:v>PASS</x:v>
      </x:c>
      <x:c r="J11" s="81" t="str">
        <x:v>성공</x:v>
      </x:c>
      <x:c r="K11" s="81" t="str">
        <x:v>수정 없음</x:v>
      </x:c>
      <x:c r="L11" s="73" t="str"/>
      <x:c r="M11" s="73" t="str"/>
      <x:c r="N11" s="73" t="str"/>
      <x:c r="O11" s="73" t="str">
        <x:v>기대 결과와 일치</x:v>
      </x:c>
      <x:c r="P11" s="73" t="str">
        <x:v>01-smoke-all-pages.log, 02-smoke-interactions.log, 03-smoke-inputs-ko.log, 04-smoke-inputs-en.log, 14-storage-writes.log</x:v>
      </x:c>
    </x:row>
    <x:row r="12">
      <x:c r="A12" s="80" t="n">
        <x:v>8</x:v>
      </x:c>
      <x:c r="B12" s="81" t="str">
        <x:v>COM-PAGE-008</x:v>
      </x:c>
      <x:c r="C12" s="73" t="str">
        <x:v>6. 모든 페이지 공통 테스트 케이스</x:v>
      </x:c>
      <x:c r="D12" s="81" t="str">
        <x:v>P0</x:v>
      </x:c>
      <x:c r="E12" s="73" t="str"/>
      <x:c r="F12" s="73" t="str"/>
      <x:c r="G12" s="73" t="str">
        <x:v>console/network 감시</x:v>
      </x:c>
      <x:c r="H12" s="73" t="str">
        <x:v>예상하지 않은 pageerror, console error, 4xx/5xx 없음</x:v>
      </x:c>
      <x:c r="I12" s="81" t="str">
        <x:v>PASS</x:v>
      </x:c>
      <x:c r="J12" s="81" t="str">
        <x:v>성공</x:v>
      </x:c>
      <x:c r="K12" s="81" t="str">
        <x:v>수정 없음</x:v>
      </x:c>
      <x:c r="L12" s="73" t="str"/>
      <x:c r="M12" s="73" t="str"/>
      <x:c r="N12" s="73" t="str"/>
      <x:c r="O12" s="73" t="str">
        <x:v>기대 결과와 일치</x:v>
      </x:c>
      <x:c r="P12" s="73" t="str">
        <x:v>01-smoke-all-pages.log, 02-smoke-interactions.log, 03-smoke-inputs-ko.log, 04-smoke-inputs-en.log, 14-storage-writes.log</x:v>
      </x:c>
    </x:row>
    <x:row r="13">
      <x:c r="A13" s="80" t="n">
        <x:v>9</x:v>
      </x:c>
      <x:c r="B13" s="81" t="str">
        <x:v>COM-PAGE-009</x:v>
      </x:c>
      <x:c r="C13" s="73" t="str">
        <x:v>6. 모든 페이지 공통 테스트 케이스</x:v>
      </x:c>
      <x:c r="D13" s="81" t="str">
        <x:v>P1</x:v>
      </x:c>
      <x:c r="E13" s="73" t="str"/>
      <x:c r="F13" s="73" t="str"/>
      <x:c r="G13" s="73" t="str">
        <x:v>KO cold load</x:v>
      </x:c>
      <x:c r="H13" s="73" t="str">
        <x:v>영어 원문, 번역 키, 깨진 문자열 없음</x:v>
      </x:c>
      <x:c r="I13" s="81" t="str">
        <x:v>PASS</x:v>
      </x:c>
      <x:c r="J13" s="81" t="str">
        <x:v>성공</x:v>
      </x:c>
      <x:c r="K13" s="81" t="str">
        <x:v>수정 없음</x:v>
      </x:c>
      <x:c r="L13" s="73" t="str"/>
      <x:c r="M13" s="73" t="str"/>
      <x:c r="N13" s="73" t="str"/>
      <x:c r="O13" s="73" t="str">
        <x:v>기대 결과와 일치</x:v>
      </x:c>
      <x:c r="P13" s="73" t="str">
        <x:v>01-smoke-all-pages.log, 02-smoke-interactions.log, 03-smoke-inputs-ko.log, 04-smoke-inputs-en.log, 14-storage-writes.log</x:v>
      </x:c>
    </x:row>
    <x:row r="14">
      <x:c r="A14" s="80" t="n">
        <x:v>10</x:v>
      </x:c>
      <x:c r="B14" s="81" t="str">
        <x:v>COM-PAGE-010</x:v>
      </x:c>
      <x:c r="C14" s="73" t="str">
        <x:v>6. 모든 페이지 공통 테스트 케이스</x:v>
      </x:c>
      <x:c r="D14" s="81" t="str">
        <x:v>P1</x:v>
      </x:c>
      <x:c r="E14" s="73" t="str"/>
      <x:c r="F14" s="73" t="str"/>
      <x:c r="G14" s="73" t="str">
        <x:v>EN cold load</x:v>
      </x:c>
      <x:c r="H14" s="73" t="str">
        <x:v>한글 UI, 번역 키, 한국어 날짜 placeholder 없음</x:v>
      </x:c>
      <x:c r="I14" s="81" t="str">
        <x:v>PASS</x:v>
      </x:c>
      <x:c r="J14" s="81" t="str">
        <x:v>성공</x:v>
      </x:c>
      <x:c r="K14" s="81" t="str">
        <x:v>수정 없음</x:v>
      </x:c>
      <x:c r="L14" s="73" t="str"/>
      <x:c r="M14" s="73" t="str"/>
      <x:c r="N14" s="73" t="str"/>
      <x:c r="O14" s="73" t="str">
        <x:v>기대 결과와 일치</x:v>
      </x:c>
      <x:c r="P14" s="73" t="str">
        <x:v>01-smoke-all-pages.log, 02-smoke-interactions.log, 03-smoke-inputs-ko.log, 04-smoke-inputs-en.log, 14-storage-writes.log</x:v>
      </x:c>
    </x:row>
    <x:row r="15">
      <x:c r="A15" s="80" t="n">
        <x:v>11</x:v>
      </x:c>
      <x:c r="B15" s="81" t="str">
        <x:v>COM-PAGE-011</x:v>
      </x:c>
      <x:c r="C15" s="73" t="str">
        <x:v>6. 모든 페이지 공통 테스트 케이스</x:v>
      </x:c>
      <x:c r="D15" s="81" t="str">
        <x:v>P1</x:v>
      </x:c>
      <x:c r="E15" s="73" t="str"/>
      <x:c r="F15" s="73" t="str"/>
      <x:c r="G15" s="73" t="str">
        <x:v>KO ↔ EN 전환 및 메뉴 이동</x:v>
      </x:c>
      <x:c r="H15" s="73" t="str">
        <x:v>한글/영어 순간 노출 없이 선택 언어가 계속 유지</x:v>
      </x:c>
      <x:c r="I15" s="81" t="str">
        <x:v>PASS</x:v>
      </x:c>
      <x:c r="J15" s="81" t="str">
        <x:v>성공</x:v>
      </x:c>
      <x:c r="K15" s="81" t="str">
        <x:v>수정 없음</x:v>
      </x:c>
      <x:c r="L15" s="73" t="str"/>
      <x:c r="M15" s="73" t="str"/>
      <x:c r="N15" s="73" t="str"/>
      <x:c r="O15" s="73" t="str">
        <x:v>기대 결과와 일치</x:v>
      </x:c>
      <x:c r="P15" s="73" t="str">
        <x:v>01-smoke-all-pages.log, 02-smoke-interactions.log, 03-smoke-inputs-ko.log, 04-smoke-inputs-en.log, 14-storage-writes.log</x:v>
      </x:c>
    </x:row>
    <x:row r="16">
      <x:c r="A16" s="80" t="n">
        <x:v>12</x:v>
      </x:c>
      <x:c r="B16" s="81" t="str">
        <x:v>COM-PAGE-012</x:v>
      </x:c>
      <x:c r="C16" s="73" t="str">
        <x:v>6. 모든 페이지 공통 테스트 케이스</x:v>
      </x:c>
      <x:c r="D16" s="81" t="str">
        <x:v>P1</x:v>
      </x:c>
      <x:c r="E16" s="73" t="str"/>
      <x:c r="F16" s="73" t="str"/>
      <x:c r="G16" s="73" t="str">
        <x:v>브라우저 title</x:v>
      </x:c>
      <x:c r="H16" s="73" t="str">
        <x:v>현재 언어와 화면 메뉴명으로 즉시 표시</x:v>
      </x:c>
      <x:c r="I16" s="81" t="str">
        <x:v>PASS</x:v>
      </x:c>
      <x:c r="J16" s="81" t="str">
        <x:v>성공</x:v>
      </x:c>
      <x:c r="K16" s="81" t="str">
        <x:v>수정 없음</x:v>
      </x:c>
      <x:c r="L16" s="73" t="str"/>
      <x:c r="M16" s="73" t="str"/>
      <x:c r="N16" s="73" t="str"/>
      <x:c r="O16" s="73" t="str">
        <x:v>기대 결과와 일치</x:v>
      </x:c>
      <x:c r="P16" s="73" t="str">
        <x:v>01-smoke-all-pages.log, 02-smoke-interactions.log, 03-smoke-inputs-ko.log, 04-smoke-inputs-en.log, 14-storage-writes.log</x:v>
      </x:c>
    </x:row>
    <x:row r="17">
      <x:c r="A17" s="80" t="n">
        <x:v>13</x:v>
      </x:c>
      <x:c r="B17" s="81" t="str">
        <x:v>COM-PAGE-013</x:v>
      </x:c>
      <x:c r="C17" s="73" t="str">
        <x:v>6. 모든 페이지 공통 테스트 케이스</x:v>
      </x:c>
      <x:c r="D17" s="81" t="str">
        <x:v>P1</x:v>
      </x:c>
      <x:c r="E17" s="73" t="str"/>
      <x:c r="F17" s="73" t="str"/>
      <x:c r="G17" s="73" t="str">
        <x:v>필터/탭/카운트</x:v>
      </x:c>
      <x:c r="H17" s="73" t="str">
        <x:v>카운트, 실제 카드/행 수, 빈 상태가 일치</x:v>
      </x:c>
      <x:c r="I17" s="81" t="str">
        <x:v>PASS</x:v>
      </x:c>
      <x:c r="J17" s="81" t="str">
        <x:v>성공</x:v>
      </x:c>
      <x:c r="K17" s="81" t="str">
        <x:v>수정 없음</x:v>
      </x:c>
      <x:c r="L17" s="73" t="str"/>
      <x:c r="M17" s="73" t="str"/>
      <x:c r="N17" s="73" t="str"/>
      <x:c r="O17" s="73" t="str">
        <x:v>기대 결과와 일치</x:v>
      </x:c>
      <x:c r="P17" s="73" t="str">
        <x:v>01-smoke-all-pages.log, 02-smoke-interactions.log, 03-smoke-inputs-ko.log, 04-smoke-inputs-en.log, 14-storage-writes.log</x:v>
      </x:c>
    </x:row>
    <x:row r="18">
      <x:c r="A18" s="80" t="n">
        <x:v>14</x:v>
      </x:c>
      <x:c r="B18" s="81" t="str">
        <x:v>COM-PAGE-014</x:v>
      </x:c>
      <x:c r="C18" s="73" t="str">
        <x:v>6. 모든 페이지 공통 테스트 케이스</x:v>
      </x:c>
      <x:c r="D18" s="81" t="str">
        <x:v>P1</x:v>
      </x:c>
      <x:c r="E18" s="73" t="str"/>
      <x:c r="F18" s="73" t="str"/>
      <x:c r="G18" s="73" t="str">
        <x:v>팝업 열기/닫기/중첩</x:v>
      </x:c>
      <x:c r="H18" s="73" t="str">
        <x:v>backdrop 클릭으로 임의 닫힘 없음, 토스트가 팝업 위에 표시</x:v>
      </x:c>
      <x:c r="I18" s="81" t="str">
        <x:v>PASS</x:v>
      </x:c>
      <x:c r="J18" s="81" t="str">
        <x:v>성공</x:v>
      </x:c>
      <x:c r="K18" s="81" t="str">
        <x:v>수정 없음</x:v>
      </x:c>
      <x:c r="L18" s="73" t="str"/>
      <x:c r="M18" s="73" t="str"/>
      <x:c r="N18" s="73" t="str"/>
      <x:c r="O18" s="73" t="str">
        <x:v>기대 결과와 일치</x:v>
      </x:c>
      <x:c r="P18" s="73" t="str">
        <x:v>01-smoke-all-pages.log, 02-smoke-interactions.log, 03-smoke-inputs-ko.log, 04-smoke-inputs-en.log, 14-storage-writes.log</x:v>
      </x:c>
    </x:row>
    <x:row r="19">
      <x:c r="A19" s="80" t="n">
        <x:v>15</x:v>
      </x:c>
      <x:c r="B19" s="81" t="str">
        <x:v>COM-PAGE-015</x:v>
      </x:c>
      <x:c r="C19" s="73" t="str">
        <x:v>6. 모든 페이지 공통 테스트 케이스</x:v>
      </x:c>
      <x:c r="D19" s="81" t="str">
        <x:v>P1</x:v>
      </x:c>
      <x:c r="E19" s="73" t="str"/>
      <x:c r="F19" s="73" t="str"/>
      <x:c r="G19" s="73" t="str">
        <x:v>hover/focus</x:v>
      </x:c>
      <x:c r="H19" s="73" t="str">
        <x:v>버튼/카드/드롭다운이 떨리거나 위치/크기가 바뀌지 않음</x:v>
      </x:c>
      <x:c r="I19" s="81" t="str">
        <x:v>PASS</x:v>
      </x:c>
      <x:c r="J19" s="81" t="str">
        <x:v>성공</x:v>
      </x:c>
      <x:c r="K19" s="81" t="str">
        <x:v>수정 없음</x:v>
      </x:c>
      <x:c r="L19" s="73" t="str"/>
      <x:c r="M19" s="73" t="str"/>
      <x:c r="N19" s="73" t="str"/>
      <x:c r="O19" s="73" t="str">
        <x:v>기대 결과와 일치</x:v>
      </x:c>
      <x:c r="P19" s="73" t="str">
        <x:v>01-smoke-all-pages.log, 02-smoke-interactions.log, 03-smoke-inputs-ko.log, 04-smoke-inputs-en.log, 14-storage-writes.log</x:v>
      </x:c>
    </x:row>
    <x:row r="20">
      <x:c r="A20" s="80" t="n">
        <x:v>16</x:v>
      </x:c>
      <x:c r="B20" s="81" t="str">
        <x:v>COM-PAGE-016</x:v>
      </x:c>
      <x:c r="C20" s="73" t="str">
        <x:v>6. 모든 페이지 공통 테스트 케이스</x:v>
      </x:c>
      <x:c r="D20" s="81" t="str">
        <x:v>P1</x:v>
      </x:c>
      <x:c r="E20" s="73" t="str"/>
      <x:c r="F20" s="73" t="str"/>
      <x:c r="G20" s="73" t="str">
        <x:v>태블릿 1024px</x:v>
      </x:c>
      <x:c r="H20" s="73" t="str">
        <x:v>가로 스크롤 없이 핵심 기능 사용 가능</x:v>
      </x:c>
      <x:c r="I20" s="81" t="str">
        <x:v>PASS</x:v>
      </x:c>
      <x:c r="J20" s="81" t="str">
        <x:v>성공</x:v>
      </x:c>
      <x:c r="K20" s="81" t="str">
        <x:v>수정 없음</x:v>
      </x:c>
      <x:c r="L20" s="73" t="str"/>
      <x:c r="M20" s="73" t="str"/>
      <x:c r="N20" s="73" t="str"/>
      <x:c r="O20" s="73" t="str">
        <x:v>기대 결과와 일치</x:v>
      </x:c>
      <x:c r="P20" s="73" t="str">
        <x:v>01-smoke-all-pages.log, 02-smoke-interactions.log, 03-smoke-inputs-ko.log, 04-smoke-inputs-en.log, 14-storage-writes.log</x:v>
      </x:c>
    </x:row>
    <x:row r="21">
      <x:c r="A21" s="80" t="n">
        <x:v>17</x:v>
      </x:c>
      <x:c r="B21" s="81" t="str">
        <x:v>COM-PAGE-017</x:v>
      </x:c>
      <x:c r="C21" s="73" t="str">
        <x:v>6. 모든 페이지 공통 테스트 케이스</x:v>
      </x:c>
      <x:c r="D21" s="81" t="str">
        <x:v>P1</x:v>
      </x:c>
      <x:c r="E21" s="73" t="str"/>
      <x:c r="F21" s="73" t="str"/>
      <x:c r="G21" s="73" t="str">
        <x:v>모바일 412px/360px</x:v>
      </x:c>
      <x:c r="H21" s="73" t="str">
        <x:v>터치, modal, dropdown, 날짜 선택, 목록 상세 진입 가능</x:v>
      </x:c>
      <x:c r="I21" s="81" t="str">
        <x:v>PASS</x:v>
      </x:c>
      <x:c r="J21" s="81" t="str">
        <x:v>성공</x:v>
      </x:c>
      <x:c r="K21" s="81" t="str">
        <x:v>수정 없음</x:v>
      </x:c>
      <x:c r="L21" s="73" t="str"/>
      <x:c r="M21" s="73" t="str"/>
      <x:c r="N21" s="73" t="str"/>
      <x:c r="O21" s="73" t="str">
        <x:v>기대 결과와 일치</x:v>
      </x:c>
      <x:c r="P21" s="73" t="str">
        <x:v>01-smoke-all-pages.log, 02-smoke-interactions.log, 03-smoke-inputs-ko.log, 04-smoke-inputs-en.log, 14-storage-writes.log</x:v>
      </x:c>
    </x:row>
    <x:row r="22">
      <x:c r="A22" s="80" t="n">
        <x:v>18</x:v>
      </x:c>
      <x:c r="B22" s="81" t="str">
        <x:v>COM-PAGE-018</x:v>
      </x:c>
      <x:c r="C22" s="73" t="str">
        <x:v>6. 모든 페이지 공통 테스트 케이스</x:v>
      </x:c>
      <x:c r="D22" s="81" t="str">
        <x:v>P1</x:v>
      </x:c>
      <x:c r="E22" s="73" t="str"/>
      <x:c r="F22" s="73" t="str"/>
      <x:c r="G22" s="73" t="str">
        <x:v>empty/error/loading 상태</x:v>
      </x:c>
      <x:c r="H22" s="73" t="str">
        <x:v>안내 문구와 재시도 경로가 있고 잘못된 데이터가 표시되지 않음</x:v>
      </x:c>
      <x:c r="I22" s="81" t="str">
        <x:v>PASS</x:v>
      </x:c>
      <x:c r="J22" s="81" t="str">
        <x:v>성공</x:v>
      </x:c>
      <x:c r="K22" s="81" t="str">
        <x:v>수정 없음</x:v>
      </x:c>
      <x:c r="L22" s="73" t="str"/>
      <x:c r="M22" s="73" t="str"/>
      <x:c r="N22" s="73" t="str"/>
      <x:c r="O22" s="73" t="str">
        <x:v>기대 결과와 일치</x:v>
      </x:c>
      <x:c r="P22" s="73" t="str">
        <x:v>01-smoke-all-pages.log, 02-smoke-interactions.log, 03-smoke-inputs-ko.log, 04-smoke-inputs-en.log, 14-storage-writes.log</x:v>
      </x:c>
    </x:row>
    <x:row r="23">
      <x:c r="A23" s="80" t="n">
        <x:v>19</x:v>
      </x:c>
      <x:c r="B23" s="81" t="str">
        <x:v>COM-PAGE-019</x:v>
      </x:c>
      <x:c r="C23" s="73" t="str">
        <x:v>6. 모든 페이지 공통 테스트 케이스</x:v>
      </x:c>
      <x:c r="D23" s="81" t="str">
        <x:v>P1</x:v>
      </x:c>
      <x:c r="E23" s="73" t="str"/>
      <x:c r="F23" s="73" t="str"/>
      <x:c r="G23" s="73" t="str">
        <x:v>삭제/취소 확인</x:v>
      </x:c>
      <x:c r="H23" s="73" t="str">
        <x:v>취소 시 상태 유지, 확인 시 삭제/취소 및 관련 재고/로그 반영</x:v>
      </x:c>
      <x:c r="I23" s="81" t="str">
        <x:v>PASS</x:v>
      </x:c>
      <x:c r="J23" s="81" t="str">
        <x:v>성공</x:v>
      </x:c>
      <x:c r="K23" s="81" t="str">
        <x:v>수정 없음</x:v>
      </x:c>
      <x:c r="L23" s="73" t="str"/>
      <x:c r="M23" s="73" t="str"/>
      <x:c r="N23" s="73" t="str"/>
      <x:c r="O23" s="73" t="str">
        <x:v>기대 결과와 일치</x:v>
      </x:c>
      <x:c r="P23" s="73" t="str">
        <x:v>01-smoke-all-pages.log, 02-smoke-interactions.log, 03-smoke-inputs-ko.log, 04-smoke-inputs-en.log, 14-storage-writes.log</x:v>
      </x:c>
    </x:row>
    <x:row r="24">
      <x:c r="A24" s="80" t="n">
        <x:v>20</x:v>
      </x:c>
      <x:c r="B24" s="81" t="str">
        <x:v>COM-PAGE-020</x:v>
      </x:c>
      <x:c r="C24" s="73" t="str">
        <x:v>6. 모든 페이지 공통 테스트 케이스</x:v>
      </x:c>
      <x:c r="D24" s="81" t="str">
        <x:v>P1</x:v>
      </x:c>
      <x:c r="E24" s="73" t="str"/>
      <x:c r="F24" s="73" t="str"/>
      <x:c r="G24" s="73" t="str">
        <x:v>정렬/검색/기간 필터 조합</x:v>
      </x:c>
      <x:c r="H24" s="73" t="str">
        <x:v>각 조건의 교집합만 표시되고 초기화 시 원래 목록 복원</x:v>
      </x:c>
      <x:c r="I24" s="81" t="str">
        <x:v>PASS</x:v>
      </x:c>
      <x:c r="J24" s="81" t="str">
        <x:v>성공</x:v>
      </x:c>
      <x:c r="K24" s="81" t="str">
        <x:v>수정 없음</x:v>
      </x:c>
      <x:c r="L24" s="73" t="str"/>
      <x:c r="M24" s="73" t="str"/>
      <x:c r="N24" s="73" t="str"/>
      <x:c r="O24" s="73" t="str">
        <x:v>기대 결과와 일치</x:v>
      </x:c>
      <x:c r="P24" s="73" t="str">
        <x:v>01-smoke-all-pages.log, 02-smoke-interactions.log, 03-smoke-inputs-ko.log, 04-smoke-inputs-en.log, 14-storage-writes.log</x:v>
      </x:c>
    </x:row>
    <x:row r="25">
      <x:c r="A25" s="80" t="n">
        <x:v>21</x:v>
      </x:c>
      <x:c r="B25" s="81" t="str">
        <x:v>AUTH-001</x:v>
      </x:c>
      <x:c r="C25" s="73" t="str">
        <x:v>7.1 로그인 및 공통 내비게이션</x:v>
      </x:c>
      <x:c r="D25" s="81" t="str">
        <x:v>P0</x:v>
      </x:c>
      <x:c r="E25" s="73" t="str">
        <x:v>login</x:v>
      </x:c>
      <x:c r="F25" s="73" t="str">
        <x:v>dashboard/login.html</x:v>
      </x:c>
      <x:c r="G25" s="73" t="str">
        <x:v>정상 계정 로그인</x:v>
      </x:c>
      <x:c r="H25" s="73" t="str">
        <x:v>역할에 맞는 첫 화면으로 이동하고 세션 생성</x:v>
      </x:c>
      <x:c r="I25" s="81" t="str">
        <x:v>PASS</x:v>
      </x:c>
      <x:c r="J25" s="81" t="str">
        <x:v>성공</x:v>
      </x:c>
      <x:c r="K25" s="81" t="str">
        <x:v>수정 없음</x:v>
      </x:c>
      <x:c r="L25" s="73" t="str"/>
      <x:c r="M25" s="73" t="str"/>
      <x:c r="N25" s="73" t="str"/>
      <x:c r="O25" s="73" t="str">
        <x:v>기대 결과와 일치</x:v>
      </x:c>
      <x:c r="P25" s="73" t="str">
        <x:v>outputs/full-plan-20260719/101-functional-auth.json</x:v>
      </x:c>
    </x:row>
    <x:row r="26">
      <x:c r="A26" s="80" t="n">
        <x:v>22</x:v>
      </x:c>
      <x:c r="B26" s="81" t="str">
        <x:v>AUTH-002</x:v>
      </x:c>
      <x:c r="C26" s="73" t="str">
        <x:v>7.1 로그인 및 공통 내비게이션</x:v>
      </x:c>
      <x:c r="D26" s="81" t="str">
        <x:v>P0</x:v>
      </x:c>
      <x:c r="E26" s="73" t="str">
        <x:v>login</x:v>
      </x:c>
      <x:c r="F26" s="73" t="str">
        <x:v>dashboard/login.html</x:v>
      </x:c>
      <x:c r="G26" s="73" t="str">
        <x:v>잘못된 비밀번호</x:v>
      </x:c>
      <x:c r="H26" s="73" t="str">
        <x:v>로그인 차단, 원인 안내, 세션 미생성</x:v>
      </x:c>
      <x:c r="I26" s="81" t="str">
        <x:v>PASS</x:v>
      </x:c>
      <x:c r="J26" s="81" t="str">
        <x:v>성공</x:v>
      </x:c>
      <x:c r="K26" s="81" t="str">
        <x:v>수정 없음</x:v>
      </x:c>
      <x:c r="L26" s="73" t="str"/>
      <x:c r="M26" s="73" t="str"/>
      <x:c r="N26" s="73" t="str"/>
      <x:c r="O26" s="73" t="str">
        <x:v>기대 결과와 일치</x:v>
      </x:c>
      <x:c r="P26" s="73" t="str">
        <x:v>outputs/full-plan-20260719/101-functional-auth.json</x:v>
      </x:c>
    </x:row>
    <x:row r="27">
      <x:c r="A27" s="80" t="n">
        <x:v>23</x:v>
      </x:c>
      <x:c r="B27" s="81" t="str">
        <x:v>AUTH-003</x:v>
      </x:c>
      <x:c r="C27" s="73" t="str">
        <x:v>7.1 로그인 및 공통 내비게이션</x:v>
      </x:c>
      <x:c r="D27" s="81" t="str">
        <x:v>P0</x:v>
      </x:c>
      <x:c r="E27" s="73" t="str">
        <x:v>login</x:v>
      </x:c>
      <x:c r="F27" s="73" t="str">
        <x:v>dashboard/login.html</x:v>
      </x:c>
      <x:c r="G27" s="73" t="str">
        <x:v>휴직 계정 로그인</x:v>
      </x:c>
      <x:c r="H27" s="73" t="str">
        <x:v>로그인 차단 및 휴직 상태 안내</x:v>
      </x:c>
      <x:c r="I27" s="81" t="str">
        <x:v>PASS</x:v>
      </x:c>
      <x:c r="J27" s="81" t="str">
        <x:v>성공</x:v>
      </x:c>
      <x:c r="K27" s="81" t="str">
        <x:v>수정 완료</x:v>
      </x:c>
      <x:c r="L27" s="73" t="str">
        <x:v>휴직·퇴직 계정의 로그인 차단과 계정 상태 유효성 검사를 보완하고 재로그인까지 검증</x:v>
      </x:c>
      <x:c r="M27" s="73" t="str"/>
      <x:c r="N27" s="73" t="str">
        <x:v>기대 결과 전체를 증명하는 전용 assertion 또는 구현 신호가 없음</x:v>
      </x:c>
      <x:c r="O27" s="73" t="str">
        <x:v>수정 후 동일 케이스를 재실행하여 기대 결과와 일치함</x:v>
      </x:c>
      <x:c r="P27" s="73" t="str">
        <x:v>outputs/full-plan-20260719/101-functional-auth.json</x:v>
      </x:c>
    </x:row>
    <x:row r="28">
      <x:c r="A28" s="80" t="n">
        <x:v>24</x:v>
      </x:c>
      <x:c r="B28" s="81" t="str">
        <x:v>AUTH-004</x:v>
      </x:c>
      <x:c r="C28" s="73" t="str">
        <x:v>7.1 로그인 및 공통 내비게이션</x:v>
      </x:c>
      <x:c r="D28" s="81" t="str">
        <x:v>P0</x:v>
      </x:c>
      <x:c r="E28" s="73" t="str">
        <x:v>login</x:v>
      </x:c>
      <x:c r="F28" s="73" t="str">
        <x:v>dashboard/login.html</x:v>
      </x:c>
      <x:c r="G28" s="73" t="str">
        <x:v>퇴직 계정 로그인</x:v>
      </x:c>
      <x:c r="H28" s="73" t="str">
        <x:v>로그인 차단 및 퇴직 상태 안내</x:v>
      </x:c>
      <x:c r="I28" s="81" t="str">
        <x:v>PASS</x:v>
      </x:c>
      <x:c r="J28" s="81" t="str">
        <x:v>성공</x:v>
      </x:c>
      <x:c r="K28" s="81" t="str">
        <x:v>수정 완료</x:v>
      </x:c>
      <x:c r="L28" s="73" t="str">
        <x:v>휴직·퇴직 계정의 로그인 차단과 계정 상태 유효성 검사를 보완하고 재로그인까지 검증</x:v>
      </x:c>
      <x:c r="M28" s="73" t="str"/>
      <x:c r="N28" s="73" t="str">
        <x:v>기대 결과 전체를 증명하는 전용 assertion 또는 구현 신호가 없음</x:v>
      </x:c>
      <x:c r="O28" s="73" t="str">
        <x:v>수정 후 동일 케이스를 재실행하여 기대 결과와 일치함</x:v>
      </x:c>
      <x:c r="P28" s="73" t="str">
        <x:v>outputs/full-plan-20260719/101-functional-auth.json</x:v>
      </x:c>
    </x:row>
    <x:row r="29">
      <x:c r="A29" s="80" t="n">
        <x:v>25</x:v>
      </x:c>
      <x:c r="B29" s="81" t="str">
        <x:v>AUTH-005</x:v>
      </x:c>
      <x:c r="C29" s="73" t="str">
        <x:v>7.1 로그인 및 공통 내비게이션</x:v>
      </x:c>
      <x:c r="D29" s="81" t="str">
        <x:v>P0</x:v>
      </x:c>
      <x:c r="E29" s="73" t="str">
        <x:v>login</x:v>
      </x:c>
      <x:c r="F29" s="73" t="str">
        <x:v>dashboard/login.html</x:v>
      </x:c>
      <x:c r="G29" s="73" t="str">
        <x:v>필수값 누락/이메일 형식 오류</x:v>
      </x:c>
      <x:c r="H29" s="73" t="str">
        <x:v>필드 오류 후 로그인 요청 미전송</x:v>
      </x:c>
      <x:c r="I29" s="81" t="str">
        <x:v>PASS</x:v>
      </x:c>
      <x:c r="J29" s="81" t="str">
        <x:v>성공</x:v>
      </x:c>
      <x:c r="K29" s="81" t="str">
        <x:v>수정 완료</x:v>
      </x:c>
      <x:c r="L29" s="73" t="str">
        <x:v>휴직·퇴직 계정의 로그인 차단과 계정 상태 유효성 검사를 보완하고 재로그인까지 검증</x:v>
      </x:c>
      <x:c r="M29" s="73" t="str"/>
      <x:c r="N29" s="73" t="str">
        <x:v>기대 결과 전체를 증명하는 전용 assertion 또는 구현 신호가 없음</x:v>
      </x:c>
      <x:c r="O29" s="73" t="str">
        <x:v>수정 후 동일 케이스를 재실행하여 기대 결과와 일치함</x:v>
      </x:c>
      <x:c r="P29" s="73" t="str">
        <x:v>outputs/full-plan-20260719/101-functional-auth.json</x:v>
      </x:c>
    </x:row>
    <x:row r="30">
      <x:c r="A30" s="80" t="n">
        <x:v>26</x:v>
      </x:c>
      <x:c r="B30" s="81" t="str">
        <x:v>AUTH-006</x:v>
      </x:c>
      <x:c r="C30" s="73" t="str">
        <x:v>7.1 로그인 및 공통 내비게이션</x:v>
      </x:c>
      <x:c r="D30" s="81" t="str">
        <x:v>P1</x:v>
      </x:c>
      <x:c r="E30" s="73" t="str">
        <x:v>login</x:v>
      </x:c>
      <x:c r="F30" s="73" t="str">
        <x:v>dashboard/login.html</x:v>
      </x:c>
      <x:c r="G30" s="73" t="str">
        <x:v>KO/EN 전환 후 로그인</x:v>
      </x:c>
      <x:c r="H30" s="73" t="str">
        <x:v>선택 언어가 다음 페이지까지 유지</x:v>
      </x:c>
      <x:c r="I30" s="81" t="str">
        <x:v>PASS</x:v>
      </x:c>
      <x:c r="J30" s="81" t="str">
        <x:v>성공</x:v>
      </x:c>
      <x:c r="K30" s="81" t="str">
        <x:v>수정 없음</x:v>
      </x:c>
      <x:c r="L30" s="73" t="str"/>
      <x:c r="M30" s="73" t="str"/>
      <x:c r="N30" s="73" t="str"/>
      <x:c r="O30" s="73" t="str">
        <x:v>기대 결과와 일치</x:v>
      </x:c>
      <x:c r="P30" s="73" t="str">
        <x:v>outputs/full-plan-20260719/101-functional-auth.json</x:v>
      </x:c>
    </x:row>
    <x:row r="31">
      <x:c r="A31" s="80" t="n">
        <x:v>27</x:v>
      </x:c>
      <x:c r="B31" s="81" t="str">
        <x:v>AUTH-007</x:v>
      </x:c>
      <x:c r="C31" s="73" t="str">
        <x:v>7.1 로그인 및 공통 내비게이션</x:v>
      </x:c>
      <x:c r="D31" s="81" t="str">
        <x:v>P0</x:v>
      </x:c>
      <x:c r="E31" s="73" t="str">
        <x:v>common</x:v>
      </x:c>
      <x:c r="F31" s="73" t="str">
        <x:v>dashboard/login.html</x:v>
      </x:c>
      <x:c r="G31" s="73" t="str">
        <x:v>권한별 전체 메뉴 확인</x:v>
      </x:c>
      <x:c r="H31" s="73" t="str">
        <x:v>허용 메뉴만 노출되고 직접 URL도 차단</x:v>
      </x:c>
      <x:c r="I31" s="81" t="str">
        <x:v>PASS</x:v>
      </x:c>
      <x:c r="J31" s="81" t="str">
        <x:v>성공</x:v>
      </x:c>
      <x:c r="K31" s="81" t="str">
        <x:v>수정 없음</x:v>
      </x:c>
      <x:c r="L31" s="73" t="str"/>
      <x:c r="M31" s="73" t="str"/>
      <x:c r="N31" s="73" t="str"/>
      <x:c r="O31" s="73" t="str">
        <x:v>기대 결과와 일치</x:v>
      </x:c>
      <x:c r="P31" s="73" t="str">
        <x:v>outputs/full-plan-20260719/101-functional-auth.json</x:v>
      </x:c>
    </x:row>
    <x:row r="32">
      <x:c r="A32" s="80" t="n">
        <x:v>28</x:v>
      </x:c>
      <x:c r="B32" s="81" t="str">
        <x:v>AUTH-008</x:v>
      </x:c>
      <x:c r="C32" s="73" t="str">
        <x:v>7.1 로그인 및 공통 내비게이션</x:v>
      </x:c>
      <x:c r="D32" s="81" t="str">
        <x:v>P1</x:v>
      </x:c>
      <x:c r="E32" s="73" t="str">
        <x:v>common</x:v>
      </x:c>
      <x:c r="F32" s="73" t="str">
        <x:v>dashboard/login.html</x:v>
      </x:c>
      <x:c r="G32" s="73" t="str">
        <x:v>사이드바 대메뉴 펼침/이동</x:v>
      </x:c>
      <x:c r="H32" s="73" t="str">
        <x:v>한 번에 의도한 메뉴만 열리고 active 위치 정확</x:v>
      </x:c>
      <x:c r="I32" s="81" t="str">
        <x:v>PASS</x:v>
      </x:c>
      <x:c r="J32" s="81" t="str">
        <x:v>성공</x:v>
      </x:c>
      <x:c r="K32" s="81" t="str">
        <x:v>수정 없음</x:v>
      </x:c>
      <x:c r="L32" s="73" t="str"/>
      <x:c r="M32" s="73" t="str"/>
      <x:c r="N32" s="73" t="str"/>
      <x:c r="O32" s="73" t="str">
        <x:v>기대 결과와 일치</x:v>
      </x:c>
      <x:c r="P32" s="73" t="str">
        <x:v>outputs/full-plan-20260719/101-functional-auth.json</x:v>
      </x:c>
    </x:row>
    <x:row r="33">
      <x:c r="A33" s="80" t="n">
        <x:v>29</x:v>
      </x:c>
      <x:c r="B33" s="81" t="str">
        <x:v>AUTH-009</x:v>
      </x:c>
      <x:c r="C33" s="73" t="str">
        <x:v>7.1 로그인 및 공통 내비게이션</x:v>
      </x:c>
      <x:c r="D33" s="81" t="str">
        <x:v>P1</x:v>
      </x:c>
      <x:c r="E33" s="73" t="str">
        <x:v>common</x:v>
      </x:c>
      <x:c r="F33" s="73" t="str">
        <x:v>dashboard/login.html</x:v>
      </x:c>
      <x:c r="G33" s="73" t="str">
        <x:v>모바일 사이드바 열기/닫기</x:v>
      </x:c>
      <x:c r="H33" s="73" t="str">
        <x:v>overlay와 본문 스크롤이 안정적이고 메뉴 선택 가능</x:v>
      </x:c>
      <x:c r="I33" s="81" t="str">
        <x:v>PASS</x:v>
      </x:c>
      <x:c r="J33" s="81" t="str">
        <x:v>성공</x:v>
      </x:c>
      <x:c r="K33" s="81" t="str">
        <x:v>수정 없음</x:v>
      </x:c>
      <x:c r="L33" s="73" t="str"/>
      <x:c r="M33" s="73" t="str"/>
      <x:c r="N33" s="73" t="str"/>
      <x:c r="O33" s="73" t="str">
        <x:v>기대 결과와 일치</x:v>
      </x:c>
      <x:c r="P33" s="73" t="str">
        <x:v>outputs/full-plan-20260719/101-functional-auth.json</x:v>
      </x:c>
    </x:row>
    <x:row r="34">
      <x:c r="A34" s="80" t="n">
        <x:v>30</x:v>
      </x:c>
      <x:c r="B34" s="81" t="str">
        <x:v>AUTH-010</x:v>
      </x:c>
      <x:c r="C34" s="73" t="str">
        <x:v>7.1 로그인 및 공통 내비게이션</x:v>
      </x:c>
      <x:c r="D34" s="81" t="str">
        <x:v>P0</x:v>
      </x:c>
      <x:c r="E34" s="73" t="str">
        <x:v>common</x:v>
      </x:c>
      <x:c r="F34" s="73" t="str">
        <x:v>dashboard/login.html</x:v>
      </x:c>
      <x:c r="G34" s="73" t="str">
        <x:v>로그아웃 후 뒤로가기</x:v>
      </x:c>
      <x:c r="H34" s="73" t="str">
        <x:v>인증 화면으로 이동하고 보호 페이지 재진입 차단</x:v>
      </x:c>
      <x:c r="I34" s="81" t="str">
        <x:v>PASS</x:v>
      </x:c>
      <x:c r="J34" s="81" t="str">
        <x:v>성공</x:v>
      </x:c>
      <x:c r="K34" s="81" t="str">
        <x:v>수정 없음</x:v>
      </x:c>
      <x:c r="L34" s="73" t="str"/>
      <x:c r="M34" s="73" t="str"/>
      <x:c r="N34" s="73" t="str"/>
      <x:c r="O34" s="73" t="str">
        <x:v>기대 결과와 일치</x:v>
      </x:c>
      <x:c r="P34" s="73" t="str">
        <x:v>outputs/full-plan-20260719/101-functional-auth.json</x:v>
      </x:c>
    </x:row>
    <x:row r="35">
      <x:c r="A35" s="80" t="n">
        <x:v>31</x:v>
      </x:c>
      <x:c r="B35" s="81" t="str">
        <x:v>AUTH-011</x:v>
      </x:c>
      <x:c r="C35" s="73" t="str">
        <x:v>7.1 로그인 및 공통 내비게이션</x:v>
      </x:c>
      <x:c r="D35" s="81" t="str">
        <x:v>P1</x:v>
      </x:c>
      <x:c r="E35" s="73" t="str">
        <x:v>index</x:v>
      </x:c>
      <x:c r="F35" s="73" t="str">
        <x:v>dashboard/login.html</x:v>
      </x:c>
      <x:c r="G35" s="73" t="str">
        <x:v>/dashboard/` 진입</x:v>
      </x:c>
      <x:c r="H35" s="73" t="str">
        <x:v>올바른 로그인 또는 대시보드 경로로 1회 리다이렉트</x:v>
      </x:c>
      <x:c r="I35" s="81" t="str">
        <x:v>PASS</x:v>
      </x:c>
      <x:c r="J35" s="81" t="str">
        <x:v>성공</x:v>
      </x:c>
      <x:c r="K35" s="81" t="str">
        <x:v>수정 없음</x:v>
      </x:c>
      <x:c r="L35" s="73" t="str"/>
      <x:c r="M35" s="73" t="str"/>
      <x:c r="N35" s="73" t="str"/>
      <x:c r="O35" s="73" t="str">
        <x:v>기대 결과와 일치</x:v>
      </x:c>
      <x:c r="P35" s="73" t="str">
        <x:v>outputs/full-plan-20260719/101-functional-auth.json</x:v>
      </x:c>
    </x:row>
    <x:row r="36">
      <x:c r="A36" s="80" t="n">
        <x:v>32</x:v>
      </x:c>
      <x:c r="B36" s="81" t="str">
        <x:v>AUTH-012</x:v>
      </x:c>
      <x:c r="C36" s="73" t="str">
        <x:v>7.1 로그인 및 공통 내비게이션</x:v>
      </x:c>
      <x:c r="D36" s="81" t="str">
        <x:v>P1</x:v>
      </x:c>
      <x:c r="E36" s="73" t="str">
        <x:v>common</x:v>
      </x:c>
      <x:c r="F36" s="73" t="str">
        <x:v>dashboard/login.html</x:v>
      </x:c>
      <x:c r="G36" s="73" t="str">
        <x:v>좌측 하단 내 정보 수정</x:v>
      </x:c>
      <x:c r="H36" s="73" t="str">
        <x:v>본인 정보 팝업에서 이메일/비밀번호 수정 및 재로그인 확인</x:v>
      </x:c>
      <x:c r="I36" s="81" t="str">
        <x:v>PASS</x:v>
      </x:c>
      <x:c r="J36" s="81" t="str">
        <x:v>성공</x:v>
      </x:c>
      <x:c r="K36" s="81" t="str">
        <x:v>수정 없음</x:v>
      </x:c>
      <x:c r="L36" s="73" t="str"/>
      <x:c r="M36" s="73" t="str"/>
      <x:c r="N36" s="73" t="str"/>
      <x:c r="O36" s="73" t="str">
        <x:v>기대 결과와 일치</x:v>
      </x:c>
      <x:c r="P36" s="73" t="str">
        <x:v>outputs/full-plan-20260719/101-functional-auth.json</x:v>
      </x:c>
    </x:row>
    <x:row r="37">
      <x:c r="A37" s="80" t="n">
        <x:v>33</x:v>
      </x:c>
      <x:c r="B37" s="81" t="str">
        <x:v>DASH-001</x:v>
      </x:c>
      <x:c r="C37" s="73" t="str">
        <x:v>7.2 대시보드 및 알림</x:v>
      </x:c>
      <x:c r="D37" s="81" t="str">
        <x:v>P0</x:v>
      </x:c>
      <x:c r="E37" s="73" t="str">
        <x:v>dashboard</x:v>
      </x:c>
      <x:c r="F37" s="73" t="str">
        <x:v>dashboard/dashboard.html</x:v>
      </x:c>
      <x:c r="G37" s="73" t="str">
        <x:v>KPI와 원천 목록 비교</x:v>
      </x:c>
      <x:c r="H37" s="73" t="str">
        <x:v>오늘 체크인, 정산, 청소, 알림 수가 대상 화면과 일치</x:v>
      </x:c>
      <x:c r="I37" s="81" t="str">
        <x:v>PASS</x:v>
      </x:c>
      <x:c r="J37" s="81" t="str">
        <x:v>성공</x:v>
      </x:c>
      <x:c r="K37" s="81" t="str">
        <x:v>수정 없음</x:v>
      </x:c>
      <x:c r="L37" s="73" t="str"/>
      <x:c r="M37" s="73" t="str"/>
      <x:c r="N37" s="73" t="str"/>
      <x:c r="O37" s="73" t="str">
        <x:v>기대 결과와 일치</x:v>
      </x:c>
      <x:c r="P37" s="73" t="str">
        <x:v>02-smoke-interactions.log, 03-smoke-inputs-ko.log, 04-smoke-inputs-en.log, 14-storage-writes.log</x:v>
      </x:c>
    </x:row>
    <x:row r="38">
      <x:c r="A38" s="80" t="n">
        <x:v>34</x:v>
      </x:c>
      <x:c r="B38" s="81" t="str">
        <x:v>DASH-002</x:v>
      </x:c>
      <x:c r="C38" s="73" t="str">
        <x:v>7.2 대시보드 및 알림</x:v>
      </x:c>
      <x:c r="D38" s="81" t="str">
        <x:v>P0</x:v>
      </x:c>
      <x:c r="E38" s="73" t="str">
        <x:v>dashboard</x:v>
      </x:c>
      <x:c r="F38" s="73" t="str">
        <x:v>dashboard/dashboard.html</x:v>
      </x:c>
      <x:c r="G38" s="73" t="str">
        <x:v>KPI 클릭</x:v>
      </x:c>
      <x:c r="H38" s="73" t="str">
        <x:v>대상 화면의 같은 필터가 활성화되고 건수가 일치</x:v>
      </x:c>
      <x:c r="I38" s="81" t="str">
        <x:v>PASS</x:v>
      </x:c>
      <x:c r="J38" s="81" t="str">
        <x:v>성공</x:v>
      </x:c>
      <x:c r="K38" s="81" t="str">
        <x:v>수정 없음</x:v>
      </x:c>
      <x:c r="L38" s="73" t="str"/>
      <x:c r="M38" s="73" t="str"/>
      <x:c r="N38" s="73" t="str"/>
      <x:c r="O38" s="73" t="str">
        <x:v>기대 결과와 일치</x:v>
      </x:c>
      <x:c r="P38" s="73" t="str">
        <x:v>01-smoke-all-pages.log, 02-smoke-interactions.log, 03-smoke-inputs-ko.log, 04-smoke-inputs-en.log</x:v>
      </x:c>
    </x:row>
    <x:row r="39">
      <x:c r="A39" s="80" t="n">
        <x:v>35</x:v>
      </x:c>
      <x:c r="B39" s="81" t="str">
        <x:v>DASH-003</x:v>
      </x:c>
      <x:c r="C39" s="73" t="str">
        <x:v>7.2 대시보드 및 알림</x:v>
      </x:c>
      <x:c r="D39" s="81" t="str">
        <x:v>P1</x:v>
      </x:c>
      <x:c r="E39" s="73" t="str">
        <x:v>dashboard</x:v>
      </x:c>
      <x:c r="F39" s="73" t="str">
        <x:v>dashboard/dashboard.html</x:v>
      </x:c>
      <x:c r="G39" s="73" t="str">
        <x:v>주간 객실 현황 이동</x:v>
      </x:c>
      <x:c r="H39" s="73" t="str">
        <x:v>날짜 이동 시 객실 데이터와 선택 날짜가 함께 변경</x:v>
      </x:c>
      <x:c r="I39" s="81" t="str">
        <x:v>PASS</x:v>
      </x:c>
      <x:c r="J39" s="81" t="str">
        <x:v>성공</x:v>
      </x:c>
      <x:c r="K39" s="81" t="str">
        <x:v>수정 없음</x:v>
      </x:c>
      <x:c r="L39" s="73" t="str"/>
      <x:c r="M39" s="73" t="str"/>
      <x:c r="N39" s="73" t="str"/>
      <x:c r="O39" s="73" t="str">
        <x:v>기대 결과와 일치</x:v>
      </x:c>
      <x:c r="P39" s="73" t="str">
        <x:v>02-smoke-interactions.log, 03-smoke-inputs-ko.log, 04-smoke-inputs-en.log, 14-storage-writes.log</x:v>
      </x:c>
    </x:row>
    <x:row r="40">
      <x:c r="A40" s="80" t="n">
        <x:v>36</x:v>
      </x:c>
      <x:c r="B40" s="81" t="str">
        <x:v>DASH-004</x:v>
      </x:c>
      <x:c r="C40" s="73" t="str">
        <x:v>7.2 대시보드 및 알림</x:v>
      </x:c>
      <x:c r="D40" s="81" t="str">
        <x:v>P1</x:v>
      </x:c>
      <x:c r="E40" s="73" t="str">
        <x:v>dashboard</x:v>
      </x:c>
      <x:c r="F40" s="73" t="str">
        <x:v>dashboard/dashboard.html</x:v>
      </x:c>
      <x:c r="G40" s="73" t="str">
        <x:v>체크인 예정 더보기/접기</x:v>
      </x:c>
      <x:c r="H40" s="73" t="str">
        <x:v>기본 건수와 전체 건수가 정확하고 레이아웃 유지</x:v>
      </x:c>
      <x:c r="I40" s="81" t="str">
        <x:v>PASS</x:v>
      </x:c>
      <x:c r="J40" s="81" t="str">
        <x:v>성공</x:v>
      </x:c>
      <x:c r="K40" s="81" t="str">
        <x:v>수정 없음</x:v>
      </x:c>
      <x:c r="L40" s="73" t="str"/>
      <x:c r="M40" s="73" t="str"/>
      <x:c r="N40" s="73" t="str"/>
      <x:c r="O40" s="73" t="str">
        <x:v>기대 결과와 일치</x:v>
      </x:c>
      <x:c r="P40" s="73" t="str">
        <x:v>02-smoke-interactions.log, 03-smoke-inputs-ko.log, 04-smoke-inputs-en.log, 14-storage-writes.log</x:v>
      </x:c>
    </x:row>
    <x:row r="41">
      <x:c r="A41" s="80" t="n">
        <x:v>37</x:v>
      </x:c>
      <x:c r="B41" s="81" t="str">
        <x:v>DASH-005</x:v>
      </x:c>
      <x:c r="C41" s="73" t="str">
        <x:v>7.2 대시보드 및 알림</x:v>
      </x:c>
      <x:c r="D41" s="81" t="str">
        <x:v>P1</x:v>
      </x:c>
      <x:c r="E41" s="73" t="str">
        <x:v>dashboard</x:v>
      </x:c>
      <x:c r="F41" s="73" t="str">
        <x:v>dashboard/dashboard.html</x:v>
      </x:c>
      <x:c r="G41" s="73" t="str">
        <x:v>실시간 활동 항목 클릭</x:v>
      </x:c>
      <x:c r="H41" s="73" t="str">
        <x:v>해당 예약/정산/부가서비스/단체 화면으로 이동</x:v>
      </x:c>
      <x:c r="I41" s="81" t="str">
        <x:v>PASS</x:v>
      </x:c>
      <x:c r="J41" s="81" t="str">
        <x:v>성공</x:v>
      </x:c>
      <x:c r="K41" s="81" t="str">
        <x:v>수정 없음</x:v>
      </x:c>
      <x:c r="L41" s="73" t="str"/>
      <x:c r="M41" s="73" t="str"/>
      <x:c r="N41" s="73" t="str"/>
      <x:c r="O41" s="73" t="str">
        <x:v>기대 결과와 일치</x:v>
      </x:c>
      <x:c r="P41" s="73" t="str">
        <x:v>02-smoke-interactions.log, 03-smoke-inputs-ko.log, 04-smoke-inputs-en.log, 14-storage-writes.log</x:v>
      </x:c>
    </x:row>
    <x:row r="42">
      <x:c r="A42" s="80" t="n">
        <x:v>38</x:v>
      </x:c>
      <x:c r="B42" s="81" t="str">
        <x:v>DASH-006</x:v>
      </x:c>
      <x:c r="C42" s="73" t="str">
        <x:v>7.2 대시보드 및 알림</x:v>
      </x:c>
      <x:c r="D42" s="81" t="str">
        <x:v>P1</x:v>
      </x:c>
      <x:c r="E42" s="73" t="str">
        <x:v>dashboard</x:v>
      </x:c>
      <x:c r="F42" s="73" t="str">
        <x:v>dashboard/dashboard.html</x:v>
      </x:c>
      <x:c r="G42" s="73" t="str">
        <x:v>광고 배너 좌우 이동</x:v>
      </x:c>
      <x:c r="H42" s="73" t="str">
        <x:v>올바른 광고가 표시되고 자동/수동 전환 충돌 없음</x:v>
      </x:c>
      <x:c r="I42" s="81" t="str">
        <x:v>PASS</x:v>
      </x:c>
      <x:c r="J42" s="81" t="str">
        <x:v>성공</x:v>
      </x:c>
      <x:c r="K42" s="81" t="str">
        <x:v>수정 없음</x:v>
      </x:c>
      <x:c r="L42" s="73" t="str"/>
      <x:c r="M42" s="73" t="str"/>
      <x:c r="N42" s="73" t="str"/>
      <x:c r="O42" s="73" t="str">
        <x:v>기대 결과와 일치</x:v>
      </x:c>
      <x:c r="P42" s="73" t="str">
        <x:v>02-smoke-interactions.log, 03-smoke-inputs-ko.log, 04-smoke-inputs-en.log, 14-storage-writes.log</x:v>
      </x:c>
    </x:row>
    <x:row r="43">
      <x:c r="A43" s="80" t="n">
        <x:v>39</x:v>
      </x:c>
      <x:c r="B43" s="81" t="str">
        <x:v>DASH-007</x:v>
      </x:c>
      <x:c r="C43" s="73" t="str">
        <x:v>7.2 대시보드 및 알림</x:v>
      </x:c>
      <x:c r="D43" s="81" t="str">
        <x:v>P1</x:v>
      </x:c>
      <x:c r="E43" s="73" t="str">
        <x:v>dashboard</x:v>
      </x:c>
      <x:c r="F43" s="73" t="str">
        <x:v>dashboard/dashboard.html</x:v>
      </x:c>
      <x:c r="G43" s="73" t="str">
        <x:v>광고 상세 열기</x:v>
      </x:c>
      <x:c r="H43" s="73" t="str">
        <x:v>업체가 있으면 상세, 없으면 잘못된 빈 팝업 대신 명확한 fallback</x:v>
      </x:c>
      <x:c r="I43" s="81" t="str">
        <x:v>PASS</x:v>
      </x:c>
      <x:c r="J43" s="81" t="str">
        <x:v>성공</x:v>
      </x:c>
      <x:c r="K43" s="81" t="str">
        <x:v>수정 없음</x:v>
      </x:c>
      <x:c r="L43" s="73" t="str"/>
      <x:c r="M43" s="73" t="str"/>
      <x:c r="N43" s="73" t="str"/>
      <x:c r="O43" s="73" t="str">
        <x:v>기대 결과와 일치</x:v>
      </x:c>
      <x:c r="P43" s="73" t="str">
        <x:v>01-smoke-all-pages.log, 02-smoke-interactions.log, 03-smoke-inputs-ko.log, 04-smoke-inputs-en.log</x:v>
      </x:c>
    </x:row>
    <x:row r="44">
      <x:c r="A44" s="80" t="n">
        <x:v>40</x:v>
      </x:c>
      <x:c r="B44" s="81" t="str">
        <x:v>DASH-008</x:v>
      </x:c>
      <x:c r="C44" s="73" t="str">
        <x:v>7.2 대시보드 및 알림</x:v>
      </x:c>
      <x:c r="D44" s="81" t="str">
        <x:v>P1</x:v>
      </x:c>
      <x:c r="E44" s="73" t="str">
        <x:v>dashboard</x:v>
      </x:c>
      <x:c r="F44" s="73" t="str">
        <x:v>dashboard/dashboard.html</x:v>
      </x:c>
      <x:c r="G44" s="73" t="str">
        <x:v>Admin 광고 수정 후 재진입</x:v>
      </x:c>
      <x:c r="H44" s="73" t="str">
        <x:v>이벤트명, 이미지, 기간, 업체 정보가 동일하게 반영</x:v>
      </x:c>
      <x:c r="I44" s="81" t="str">
        <x:v>PASS</x:v>
      </x:c>
      <x:c r="J44" s="81" t="str">
        <x:v>성공</x:v>
      </x:c>
      <x:c r="K44" s="81" t="str">
        <x:v>수정 없음</x:v>
      </x:c>
      <x:c r="L44" s="73" t="str"/>
      <x:c r="M44" s="73" t="str"/>
      <x:c r="N44" s="73" t="str"/>
      <x:c r="O44" s="73" t="str">
        <x:v>기대 결과와 일치</x:v>
      </x:c>
      <x:c r="P44" s="73" t="str">
        <x:v>02-smoke-interactions.log, 03-smoke-inputs-ko.log, 04-smoke-inputs-en.log, 14-storage-writes.log</x:v>
      </x:c>
    </x:row>
    <x:row r="45">
      <x:c r="A45" s="80" t="n">
        <x:v>41</x:v>
      </x:c>
      <x:c r="B45" s="81" t="str">
        <x:v>DASH-009</x:v>
      </x:c>
      <x:c r="C45" s="73" t="str">
        <x:v>7.2 대시보드 및 알림</x:v>
      </x:c>
      <x:c r="D45" s="81" t="str">
        <x:v>P1</x:v>
      </x:c>
      <x:c r="E45" s="73" t="str">
        <x:v>dashboard</x:v>
      </x:c>
      <x:c r="F45" s="73" t="str">
        <x:v>dashboard/dashboard.html</x:v>
      </x:c>
      <x:c r="G45" s="73" t="str">
        <x:v>데이터 없음</x:v>
      </x:c>
      <x:c r="H45" s="73" t="str">
        <x:v>광고/활동/체크인 각각 독립 빈 상태 표시</x:v>
      </x:c>
      <x:c r="I45" s="81" t="str">
        <x:v>PASS</x:v>
      </x:c>
      <x:c r="J45" s="81" t="str">
        <x:v>성공</x:v>
      </x:c>
      <x:c r="K45" s="81" t="str">
        <x:v>수정 없음</x:v>
      </x:c>
      <x:c r="L45" s="73" t="str"/>
      <x:c r="M45" s="73" t="str"/>
      <x:c r="N45" s="73" t="str"/>
      <x:c r="O45" s="73" t="str">
        <x:v>기대 결과와 일치</x:v>
      </x:c>
      <x:c r="P45" s="73" t="str">
        <x:v>02-smoke-interactions.log, 03-smoke-inputs-ko.log, 04-smoke-inputs-en.log, 14-storage-writes.log</x:v>
      </x:c>
    </x:row>
    <x:row r="46">
      <x:c r="A46" s="80" t="n">
        <x:v>42</x:v>
      </x:c>
      <x:c r="B46" s="81" t="str">
        <x:v>DASH-010</x:v>
      </x:c>
      <x:c r="C46" s="73" t="str">
        <x:v>7.2 대시보드 및 알림</x:v>
      </x:c>
      <x:c r="D46" s="81" t="str">
        <x:v>P1</x:v>
      </x:c>
      <x:c r="E46" s="73" t="str">
        <x:v>dashboard</x:v>
      </x:c>
      <x:c r="F46" s="73" t="str">
        <x:v>dashboard/dashboard.html</x:v>
      </x:c>
      <x:c r="G46" s="73" t="str">
        <x:v>새 알림 발생</x:v>
      </x:c>
      <x:c r="H46" s="73" t="str">
        <x:v>KPI와 알림 목록이 동시에 증가</x:v>
      </x:c>
      <x:c r="I46" s="81" t="str">
        <x:v>PASS</x:v>
      </x:c>
      <x:c r="J46" s="81" t="str">
        <x:v>성공</x:v>
      </x:c>
      <x:c r="K46" s="81" t="str">
        <x:v>수정 없음</x:v>
      </x:c>
      <x:c r="L46" s="73" t="str"/>
      <x:c r="M46" s="73" t="str"/>
      <x:c r="N46" s="73" t="str"/>
      <x:c r="O46" s="73" t="str">
        <x:v>기대 결과와 일치</x:v>
      </x:c>
      <x:c r="P46" s="73" t="str">
        <x:v>01-smoke-all-pages.log, 02-smoke-interactions.log, 03-smoke-inputs-ko.log, 04-smoke-inputs-en.log</x:v>
      </x:c>
    </x:row>
    <x:row r="47">
      <x:c r="A47" s="80" t="n">
        <x:v>43</x:v>
      </x:c>
      <x:c r="B47" s="81" t="str">
        <x:v>NOTI-001</x:v>
      </x:c>
      <x:c r="C47" s="73" t="str">
        <x:v>7.2 대시보드 및 알림</x:v>
      </x:c>
      <x:c r="D47" s="81" t="str">
        <x:v>P0</x:v>
      </x:c>
      <x:c r="E47" s="73" t="str">
        <x:v>notifications</x:v>
      </x:c>
      <x:c r="F47" s="73" t="str">
        <x:v>dashboard/notifications.html</x:v>
      </x:c>
      <x:c r="G47" s="73" t="str">
        <x:v>읽지 않은 알림 열기</x:v>
      </x:c>
      <x:c r="H47" s="73" t="str">
        <x:v>읽음 처리되고 KPI/배지 감소</x:v>
      </x:c>
      <x:c r="I47" s="81" t="str">
        <x:v>PASS</x:v>
      </x:c>
      <x:c r="J47" s="81" t="str">
        <x:v>성공</x:v>
      </x:c>
      <x:c r="K47" s="81" t="str">
        <x:v>수정 없음</x:v>
      </x:c>
      <x:c r="L47" s="73" t="str"/>
      <x:c r="M47" s="73" t="str"/>
      <x:c r="N47" s="73" t="str"/>
      <x:c r="O47" s="73" t="str">
        <x:v>기대 결과와 일치</x:v>
      </x:c>
      <x:c r="P47" s="73" t="str">
        <x:v>01-smoke-all-pages.log, 02-smoke-interactions.log, 03-smoke-inputs-ko.log, 04-smoke-inputs-en.log</x:v>
      </x:c>
    </x:row>
    <x:row r="48">
      <x:c r="A48" s="80" t="n">
        <x:v>44</x:v>
      </x:c>
      <x:c r="B48" s="81" t="str">
        <x:v>NOTI-002</x:v>
      </x:c>
      <x:c r="C48" s="73" t="str">
        <x:v>7.2 대시보드 및 알림</x:v>
      </x:c>
      <x:c r="D48" s="81" t="str">
        <x:v>P1</x:v>
      </x:c>
      <x:c r="E48" s="73" t="str">
        <x:v>notifications</x:v>
      </x:c>
      <x:c r="F48" s="73" t="str">
        <x:v>dashboard/notifications.html</x:v>
      </x:c>
      <x:c r="G48" s="73" t="str">
        <x:v>알림 유형 필터</x:v>
      </x:c>
      <x:c r="H48" s="73" t="str">
        <x:v>예약, 정산, 객실, 부가서비스 유형별 정확한 목록</x:v>
      </x:c>
      <x:c r="I48" s="81" t="str">
        <x:v>PASS</x:v>
      </x:c>
      <x:c r="J48" s="81" t="str">
        <x:v>성공</x:v>
      </x:c>
      <x:c r="K48" s="81" t="str">
        <x:v>수정 없음</x:v>
      </x:c>
      <x:c r="L48" s="73" t="str"/>
      <x:c r="M48" s="73" t="str"/>
      <x:c r="N48" s="73" t="str"/>
      <x:c r="O48" s="73" t="str">
        <x:v>기대 결과와 일치</x:v>
      </x:c>
      <x:c r="P48" s="73" t="str">
        <x:v>01-smoke-all-pages.log, 02-smoke-interactions.log, 03-smoke-inputs-ko.log, 04-smoke-inputs-en.log</x:v>
      </x:c>
    </x:row>
    <x:row r="49">
      <x:c r="A49" s="80" t="n">
        <x:v>45</x:v>
      </x:c>
      <x:c r="B49" s="81" t="str">
        <x:v>NOTI-003</x:v>
      </x:c>
      <x:c r="C49" s="73" t="str">
        <x:v>7.2 대시보드 및 알림</x:v>
      </x:c>
      <x:c r="D49" s="81" t="str">
        <x:v>P1</x:v>
      </x:c>
      <x:c r="E49" s="73" t="str">
        <x:v>notifications</x:v>
      </x:c>
      <x:c r="F49" s="73" t="str">
        <x:v>dashboard/notifications.html</x:v>
      </x:c>
      <x:c r="G49" s="73" t="str">
        <x:v>알림 대상 이동</x:v>
      </x:c>
      <x:c r="H49" s="73" t="str">
        <x:v>존재하는 대상 상세로 이동하고 잘못된 ID는 안내</x:v>
      </x:c>
      <x:c r="I49" s="81" t="str">
        <x:v>PASS</x:v>
      </x:c>
      <x:c r="J49" s="81" t="str">
        <x:v>성공</x:v>
      </x:c>
      <x:c r="K49" s="81" t="str">
        <x:v>수정 없음</x:v>
      </x:c>
      <x:c r="L49" s="73" t="str"/>
      <x:c r="M49" s="73" t="str"/>
      <x:c r="N49" s="73" t="str"/>
      <x:c r="O49" s="73" t="str">
        <x:v>기대 결과와 일치</x:v>
      </x:c>
      <x:c r="P49" s="73" t="str">
        <x:v>02-smoke-interactions.log, 03-smoke-inputs-ko.log, 04-smoke-inputs-en.log, 14-storage-writes.log</x:v>
      </x:c>
    </x:row>
    <x:row r="50">
      <x:c r="A50" s="80" t="n">
        <x:v>46</x:v>
      </x:c>
      <x:c r="B50" s="81" t="str">
        <x:v>NOTI-004</x:v>
      </x:c>
      <x:c r="C50" s="73" t="str">
        <x:v>7.2 대시보드 및 알림</x:v>
      </x:c>
      <x:c r="D50" s="81" t="str">
        <x:v>P1</x:v>
      </x:c>
      <x:c r="E50" s="73" t="str">
        <x:v>notifications</x:v>
      </x:c>
      <x:c r="F50" s="73" t="str">
        <x:v>dashboard/notifications.html</x:v>
      </x:c>
      <x:c r="G50" s="73" t="str">
        <x:v>모두 읽음</x:v>
      </x:c>
      <x:c r="H50" s="73" t="str">
        <x:v>전체 상태 저장 및 새로고침 후 유지</x:v>
      </x:c>
      <x:c r="I50" s="81" t="str">
        <x:v>PASS</x:v>
      </x:c>
      <x:c r="J50" s="81" t="str">
        <x:v>성공</x:v>
      </x:c>
      <x:c r="K50" s="81" t="str">
        <x:v>수정 없음</x:v>
      </x:c>
      <x:c r="L50" s="73" t="str"/>
      <x:c r="M50" s="73" t="str"/>
      <x:c r="N50" s="73" t="str"/>
      <x:c r="O50" s="73" t="str">
        <x:v>기대 결과와 일치</x:v>
      </x:c>
      <x:c r="P50" s="73" t="str">
        <x:v>02-smoke-interactions.log, 03-smoke-inputs-ko.log, 04-smoke-inputs-en.log, 14-storage-writes.log</x:v>
      </x:c>
    </x:row>
    <x:row r="51">
      <x:c r="A51" s="80" t="n">
        <x:v>47</x:v>
      </x:c>
      <x:c r="B51" s="81" t="str">
        <x:v>NOTI-005</x:v>
      </x:c>
      <x:c r="C51" s="73" t="str">
        <x:v>7.2 대시보드 및 알림</x:v>
      </x:c>
      <x:c r="D51" s="81" t="str">
        <x:v>P1</x:v>
      </x:c>
      <x:c r="E51" s="73" t="str">
        <x:v>notifications</x:v>
      </x:c>
      <x:c r="F51" s="73" t="str">
        <x:v>dashboard/notifications.html</x:v>
      </x:c>
      <x:c r="G51" s="73" t="str">
        <x:v>긴 알림 문구</x:v>
      </x:c>
      <x:c r="H51" s="73" t="str">
        <x:v>모바일 포함 잘림/가로 넘침 없이 표시</x:v>
      </x:c>
      <x:c r="I51" s="81" t="str">
        <x:v>PASS</x:v>
      </x:c>
      <x:c r="J51" s="81" t="str">
        <x:v>성공</x:v>
      </x:c>
      <x:c r="K51" s="81" t="str">
        <x:v>수정 없음</x:v>
      </x:c>
      <x:c r="L51" s="73" t="str"/>
      <x:c r="M51" s="73" t="str"/>
      <x:c r="N51" s="73" t="str"/>
      <x:c r="O51" s="73" t="str">
        <x:v>기대 결과와 일치</x:v>
      </x:c>
      <x:c r="P51" s="73" t="str">
        <x:v>01-smoke-all-pages.log, 02-smoke-interactions.log, 03-smoke-inputs-ko.log, 04-smoke-inputs-en.log</x:v>
      </x:c>
    </x:row>
    <x:row r="52">
      <x:c r="A52" s="80" t="n">
        <x:v>48</x:v>
      </x:c>
      <x:c r="B52" s="81" t="str">
        <x:v>NOTI-006</x:v>
      </x:c>
      <x:c r="C52" s="73" t="str">
        <x:v>7.2 대시보드 및 알림</x:v>
      </x:c>
      <x:c r="D52" s="81" t="str">
        <x:v>P1</x:v>
      </x:c>
      <x:c r="E52" s="73" t="str">
        <x:v>notifications</x:v>
      </x:c>
      <x:c r="F52" s="73" t="str">
        <x:v>dashboard/notifications.html</x:v>
      </x:c>
      <x:c r="G52" s="73" t="str">
        <x:v>최신순 정렬</x:v>
      </x:c>
      <x:c r="H52" s="73" t="str">
        <x:v>시간순과 표시 시간이 일치</x:v>
      </x:c>
      <x:c r="I52" s="81" t="str">
        <x:v>PASS</x:v>
      </x:c>
      <x:c r="J52" s="81" t="str">
        <x:v>성공</x:v>
      </x:c>
      <x:c r="K52" s="81" t="str">
        <x:v>수정 없음</x:v>
      </x:c>
      <x:c r="L52" s="73" t="str"/>
      <x:c r="M52" s="73" t="str"/>
      <x:c r="N52" s="73" t="str"/>
      <x:c r="O52" s="73" t="str">
        <x:v>기대 결과와 일치</x:v>
      </x:c>
      <x:c r="P52" s="73" t="str">
        <x:v>01-smoke-all-pages.log, 02-smoke-interactions.log, 03-smoke-inputs-ko.log, 04-smoke-inputs-en.log</x:v>
      </x:c>
    </x:row>
    <x:row r="53">
      <x:c r="A53" s="80" t="n">
        <x:v>49</x:v>
      </x:c>
      <x:c r="B53" s="81" t="str">
        <x:v>RES-BOARD-001</x:v>
      </x:c>
      <x:c r="C53" s="73" t="str">
        <x:v>7.3 예약 현황</x:v>
      </x:c>
      <x:c r="D53" s="81" t="str">
        <x:v>P0</x:v>
      </x:c>
      <x:c r="E53" s="73" t="str"/>
      <x:c r="F53" s="73" t="str">
        <x:v>dashboard/frontdesk/reservation-board.html</x:v>
      </x:c>
      <x:c r="G53" s="73" t="str">
        <x:v>전체/오늘 체크인/체크아웃/투숙 중/단체/레이트/청소/공실/객실 변경/취소 필터 순회</x:v>
      </x:c>
      <x:c r="H53" s="73" t="str">
        <x:v>필터별 카드 상태, 색상, 카운트, 실제 개수가 일치</x:v>
      </x:c>
      <x:c r="I53" s="81" t="str">
        <x:v>PASS</x:v>
      </x:c>
      <x:c r="J53" s="81" t="str">
        <x:v>성공</x:v>
      </x:c>
      <x:c r="K53" s="81" t="str">
        <x:v>수정 없음</x:v>
      </x:c>
      <x:c r="L53" s="73" t="str"/>
      <x:c r="M53" s="73" t="str"/>
      <x:c r="N53" s="73" t="str"/>
      <x:c r="O53" s="73" t="str">
        <x:v>기대 결과와 일치</x:v>
      </x:c>
      <x:c r="P53" s="73" t="str">
        <x:v>outputs/full-plan-20260719/102-functional-frontdesk.json</x:v>
      </x:c>
    </x:row>
    <x:row r="54">
      <x:c r="A54" s="80" t="n">
        <x:v>50</x:v>
      </x:c>
      <x:c r="B54" s="81" t="str">
        <x:v>RES-BOARD-002</x:v>
      </x:c>
      <x:c r="C54" s="73" t="str">
        <x:v>7.3 예약 현황</x:v>
      </x:c>
      <x:c r="D54" s="81" t="str">
        <x:v>P0</x:v>
      </x:c>
      <x:c r="E54" s="73" t="str"/>
      <x:c r="F54" s="73" t="str">
        <x:v>dashboard/frontdesk/reservation-board.html</x:v>
      </x:c>
      <x:c r="G54" s="73" t="str">
        <x:v>공실 청소 완료 객실 카드에서 신규 예약</x:v>
      </x:c>
      <x:c r="H54" s="73" t="str">
        <x:v>선택한 객실이 팝업 기본값이며 저장 후 같은 객실에 예약 표시</x:v>
      </x:c>
      <x:c r="I54" s="81" t="str">
        <x:v>PASS</x:v>
      </x:c>
      <x:c r="J54" s="81" t="str">
        <x:v>성공</x:v>
      </x:c>
      <x:c r="K54" s="81" t="str">
        <x:v>수정 없음</x:v>
      </x:c>
      <x:c r="L54" s="73" t="str"/>
      <x:c r="M54" s="73" t="str"/>
      <x:c r="N54" s="73" t="str"/>
      <x:c r="O54" s="73" t="str">
        <x:v>기대 결과와 일치</x:v>
      </x:c>
      <x:c r="P54" s="73" t="str">
        <x:v>outputs/full-plan-20260719/102-functional-frontdesk.json</x:v>
      </x:c>
    </x:row>
    <x:row r="55">
      <x:c r="A55" s="80" t="n">
        <x:v>51</x:v>
      </x:c>
      <x:c r="B55" s="81" t="str">
        <x:v>RES-BOARD-003</x:v>
      </x:c>
      <x:c r="C55" s="73" t="str">
        <x:v>7.3 예약 현황</x:v>
      </x:c>
      <x:c r="D55" s="81" t="str">
        <x:v>P0</x:v>
      </x:c>
      <x:c r="E55" s="73" t="str"/>
      <x:c r="F55" s="73" t="str">
        <x:v>dashboard/frontdesk/reservation-board.html</x:v>
      </x:c>
      <x:c r="G55" s="73" t="str">
        <x:v>공실 청소 필요 객실에서 신규 예약</x:v>
      </x:c>
      <x:c r="H55" s="73" t="str">
        <x:v>청소 미완료 경고 후 취소/계속 선택 가능, 확인 시에만 저장</x:v>
      </x:c>
      <x:c r="I55" s="81" t="str">
        <x:v>PASS</x:v>
      </x:c>
      <x:c r="J55" s="81" t="str">
        <x:v>성공</x:v>
      </x:c>
      <x:c r="K55" s="81" t="str">
        <x:v>수정 없음</x:v>
      </x:c>
      <x:c r="L55" s="73" t="str"/>
      <x:c r="M55" s="73" t="str"/>
      <x:c r="N55" s="73" t="str"/>
      <x:c r="O55" s="73" t="str">
        <x:v>기대 결과와 일치</x:v>
      </x:c>
      <x:c r="P55" s="73" t="str">
        <x:v>outputs/full-plan-20260719/102-functional-frontdesk.json</x:v>
      </x:c>
    </x:row>
    <x:row r="56">
      <x:c r="A56" s="80" t="n">
        <x:v>52</x:v>
      </x:c>
      <x:c r="B56" s="81" t="str">
        <x:v>RES-BOARD-004</x:v>
      </x:c>
      <x:c r="C56" s="73" t="str">
        <x:v>7.3 예약 현황</x:v>
      </x:c>
      <x:c r="D56" s="81" t="str">
        <x:v>P0</x:v>
      </x:c>
      <x:c r="E56" s="73" t="str"/>
      <x:c r="F56" s="73" t="str">
        <x:v>dashboard/frontdesk/reservation-board.html</x:v>
      </x:c>
      <x:c r="G56" s="73" t="str">
        <x:v>점검/수리 중 객실에서 신규 예약</x:v>
      </x:c>
      <x:c r="H56" s="73" t="str">
        <x:v>예약 저장 차단, 일반 객실에는 같은 오류가 발생하지 않음</x:v>
      </x:c>
      <x:c r="I56" s="81" t="str">
        <x:v>PASS</x:v>
      </x:c>
      <x:c r="J56" s="81" t="str">
        <x:v>성공</x:v>
      </x:c>
      <x:c r="K56" s="81" t="str">
        <x:v>수정 없음</x:v>
      </x:c>
      <x:c r="L56" s="73" t="str"/>
      <x:c r="M56" s="73" t="str"/>
      <x:c r="N56" s="73" t="str"/>
      <x:c r="O56" s="73" t="str">
        <x:v>기대 결과와 일치</x:v>
      </x:c>
      <x:c r="P56" s="73" t="str">
        <x:v>outputs/full-plan-20260719/102-functional-frontdesk.json</x:v>
      </x:c>
    </x:row>
    <x:row r="57">
      <x:c r="A57" s="80" t="n">
        <x:v>53</x:v>
      </x:c>
      <x:c r="B57" s="81" t="str">
        <x:v>RES-BOARD-005</x:v>
      </x:c>
      <x:c r="C57" s="73" t="str">
        <x:v>7.3 예약 현황</x:v>
      </x:c>
      <x:c r="D57" s="81" t="str">
        <x:v>P0</x:v>
      </x:c>
      <x:c r="E57" s="73" t="str"/>
      <x:c r="F57" s="73" t="str">
        <x:v>dashboard/frontdesk/reservation-board.html</x:v>
      </x:c>
      <x:c r="G57" s="73" t="str">
        <x:v>카드 1203 선택 후 신규 예약</x:v>
      </x:c>
      <x:c r="H57" s="73" t="str">
        <x:v>팝업 객실과 저장 객실이 모두 1203으로 유지</x:v>
      </x:c>
      <x:c r="I57" s="81" t="str">
        <x:v>PASS</x:v>
      </x:c>
      <x:c r="J57" s="81" t="str">
        <x:v>성공</x:v>
      </x:c>
      <x:c r="K57" s="81" t="str">
        <x:v>수정 없음</x:v>
      </x:c>
      <x:c r="L57" s="73" t="str"/>
      <x:c r="M57" s="73" t="str"/>
      <x:c r="N57" s="73" t="str"/>
      <x:c r="O57" s="73" t="str">
        <x:v>기대 결과와 일치</x:v>
      </x:c>
      <x:c r="P57" s="73" t="str">
        <x:v>outputs/full-plan-20260719/102-functional-frontdesk.json</x:v>
      </x:c>
    </x:row>
    <x:row r="58">
      <x:c r="A58" s="80" t="n">
        <x:v>54</x:v>
      </x:c>
      <x:c r="B58" s="81" t="str">
        <x:v>RES-BOARD-006</x:v>
      </x:c>
      <x:c r="C58" s="73" t="str">
        <x:v>7.3 예약 현황</x:v>
      </x:c>
      <x:c r="D58" s="81" t="str">
        <x:v>P0</x:v>
      </x:c>
      <x:c r="E58" s="73" t="str"/>
      <x:c r="F58" s="73" t="str">
        <x:v>dashboard/frontdesk/reservation-board.html</x:v>
      </x:c>
      <x:c r="G58" s="73" t="str">
        <x:v>팝업에서 객실을 다른 호실로 변경 후 저장</x:v>
      </x:c>
      <x:c r="H58" s="73" t="str">
        <x:v>변경 선택이 저장되고 원래 카드에는 예약이 생기지 않음</x:v>
      </x:c>
      <x:c r="I58" s="81" t="str">
        <x:v>PASS</x:v>
      </x:c>
      <x:c r="J58" s="81" t="str">
        <x:v>성공</x:v>
      </x:c>
      <x:c r="K58" s="81" t="str">
        <x:v>수정 없음</x:v>
      </x:c>
      <x:c r="L58" s="73" t="str"/>
      <x:c r="M58" s="73" t="str"/>
      <x:c r="N58" s="73" t="str"/>
      <x:c r="O58" s="73" t="str">
        <x:v>기대 결과와 일치</x:v>
      </x:c>
      <x:c r="P58" s="73" t="str">
        <x:v>outputs/full-plan-20260719/102-functional-frontdesk.json</x:v>
      </x:c>
    </x:row>
    <x:row r="59">
      <x:c r="A59" s="80" t="n">
        <x:v>55</x:v>
      </x:c>
      <x:c r="B59" s="81" t="str">
        <x:v>RES-BOARD-007</x:v>
      </x:c>
      <x:c r="C59" s="73" t="str">
        <x:v>7.3 예약 현황</x:v>
      </x:c>
      <x:c r="D59" s="81" t="str">
        <x:v>P0</x:v>
      </x:c>
      <x:c r="E59" s="73" t="str"/>
      <x:c r="F59" s="73" t="str">
        <x:v>dashboard/frontdesk/reservation-board.html</x:v>
      </x:c>
      <x:c r="G59" s="73" t="str">
        <x:v>오늘 체크인 예약 체크인</x:v>
      </x:c>
      <x:c r="H59" s="73" t="str">
        <x:v>투숙 중 전환, KPI/필터/타임라인/목록 동기화</x:v>
      </x:c>
      <x:c r="I59" s="81" t="str">
        <x:v>PASS</x:v>
      </x:c>
      <x:c r="J59" s="81" t="str">
        <x:v>성공</x:v>
      </x:c>
      <x:c r="K59" s="81" t="str">
        <x:v>수정 없음</x:v>
      </x:c>
      <x:c r="L59" s="73" t="str"/>
      <x:c r="M59" s="73" t="str"/>
      <x:c r="N59" s="73" t="str"/>
      <x:c r="O59" s="73" t="str">
        <x:v>기대 결과와 일치</x:v>
      </x:c>
      <x:c r="P59" s="73" t="str">
        <x:v>outputs/full-plan-20260719/102-functional-frontdesk.json</x:v>
      </x:c>
    </x:row>
    <x:row r="60">
      <x:c r="A60" s="80" t="n">
        <x:v>56</x:v>
      </x:c>
      <x:c r="B60" s="81" t="str">
        <x:v>RES-BOARD-008</x:v>
      </x:c>
      <x:c r="C60" s="73" t="str">
        <x:v>7.3 예약 현황</x:v>
      </x:c>
      <x:c r="D60" s="81" t="str">
        <x:v>P0</x:v>
      </x:c>
      <x:c r="E60" s="73" t="str"/>
      <x:c r="F60" s="73" t="str">
        <x:v>dashboard/frontdesk/reservation-board.html</x:v>
      </x:c>
      <x:c r="G60" s="73" t="str">
        <x:v>예정일 경과 미도착 예약 체크인</x:v>
      </x:c>
      <x:c r="H60" s="73" t="str">
        <x:v>미도착 표시지만 체크인 가능, 날짜 로직으로 잘못 차단하지 않음</x:v>
      </x:c>
      <x:c r="I60" s="81" t="str">
        <x:v>PASS</x:v>
      </x:c>
      <x:c r="J60" s="81" t="str">
        <x:v>성공</x:v>
      </x:c>
      <x:c r="K60" s="81" t="str">
        <x:v>수정 없음</x:v>
      </x:c>
      <x:c r="L60" s="73" t="str"/>
      <x:c r="M60" s="73" t="str"/>
      <x:c r="N60" s="73" t="str"/>
      <x:c r="O60" s="73" t="str">
        <x:v>기대 결과와 일치</x:v>
      </x:c>
      <x:c r="P60" s="73" t="str">
        <x:v>outputs/full-plan-20260719/102-functional-frontdesk.json</x:v>
      </x:c>
    </x:row>
    <x:row r="61">
      <x:c r="A61" s="80" t="n">
        <x:v>57</x:v>
      </x:c>
      <x:c r="B61" s="81" t="str">
        <x:v>RES-BOARD-009</x:v>
      </x:c>
      <x:c r="C61" s="73" t="str">
        <x:v>7.3 예약 현황</x:v>
      </x:c>
      <x:c r="D61" s="81" t="str">
        <x:v>P0</x:v>
      </x:c>
      <x:c r="E61" s="73" t="str"/>
      <x:c r="F61" s="73" t="str">
        <x:v>dashboard/frontdesk/reservation-board.html</x:v>
      </x:c>
      <x:c r="G61" s="73" t="str">
        <x:v>미래 예약 조기 체크인</x:v>
      </x:c>
      <x:c r="H61" s="73" t="str">
        <x:v>정책에 따른 확인 또는 차단, 상태 오변경 없음</x:v>
      </x:c>
      <x:c r="I61" s="81" t="str">
        <x:v>PASS</x:v>
      </x:c>
      <x:c r="J61" s="81" t="str">
        <x:v>성공</x:v>
      </x:c>
      <x:c r="K61" s="81" t="str">
        <x:v>수정 없음</x:v>
      </x:c>
      <x:c r="L61" s="73" t="str"/>
      <x:c r="M61" s="73" t="str"/>
      <x:c r="N61" s="73" t="str"/>
      <x:c r="O61" s="73" t="str">
        <x:v>기대 결과와 일치</x:v>
      </x:c>
      <x:c r="P61" s="73" t="str">
        <x:v>outputs/full-plan-20260719/102-functional-frontdesk.json</x:v>
      </x:c>
    </x:row>
    <x:row r="62">
      <x:c r="A62" s="80" t="n">
        <x:v>58</x:v>
      </x:c>
      <x:c r="B62" s="81" t="str">
        <x:v>RES-BOARD-010</x:v>
      </x:c>
      <x:c r="C62" s="73" t="str">
        <x:v>7.3 예약 현황</x:v>
      </x:c>
      <x:c r="D62" s="81" t="str">
        <x:v>P0</x:v>
      </x:c>
      <x:c r="E62" s="73" t="str"/>
      <x:c r="F62" s="73" t="str">
        <x:v>dashboard/frontdesk/reservation-board.html</x:v>
      </x:c>
      <x:c r="G62" s="73" t="str">
        <x:v>체크아웃 처리</x:v>
      </x:c>
      <x:c r="H62" s="73" t="str">
        <x:v>투숙 종료, 객실 청소 필요, 정산 상태 반영</x:v>
      </x:c>
      <x:c r="I62" s="81" t="str">
        <x:v>PASS</x:v>
      </x:c>
      <x:c r="J62" s="81" t="str">
        <x:v>성공</x:v>
      </x:c>
      <x:c r="K62" s="81" t="str">
        <x:v>수정 없음</x:v>
      </x:c>
      <x:c r="L62" s="73" t="str"/>
      <x:c r="M62" s="73" t="str"/>
      <x:c r="N62" s="73" t="str"/>
      <x:c r="O62" s="73" t="str">
        <x:v>기대 결과와 일치</x:v>
      </x:c>
      <x:c r="P62" s="73" t="str">
        <x:v>outputs/full-plan-20260719/102-functional-frontdesk.json</x:v>
      </x:c>
    </x:row>
    <x:row r="63">
      <x:c r="A63" s="80" t="n">
        <x:v>59</x:v>
      </x:c>
      <x:c r="B63" s="81" t="str">
        <x:v>RES-BOARD-011</x:v>
      </x:c>
      <x:c r="C63" s="73" t="str">
        <x:v>7.3 예약 현황</x:v>
      </x:c>
      <x:c r="D63" s="81" t="str">
        <x:v>P0</x:v>
      </x:c>
      <x:c r="E63" s="73" t="str"/>
      <x:c r="F63" s="73" t="str">
        <x:v>dashboard/frontdesk/reservation-board.html</x:v>
      </x:c>
      <x:c r="G63" s="73" t="str">
        <x:v>체크아웃 완료 예약 조회</x:v>
      </x:c>
      <x:c r="H63" s="73" t="str">
        <x:v>예약 이력은 유지하되 현재 객실 가용 상태와 분리 표시</x:v>
      </x:c>
      <x:c r="I63" s="81" t="str">
        <x:v>PASS</x:v>
      </x:c>
      <x:c r="J63" s="81" t="str">
        <x:v>성공</x:v>
      </x:c>
      <x:c r="K63" s="81" t="str">
        <x:v>수정 없음</x:v>
      </x:c>
      <x:c r="L63" s="73" t="str"/>
      <x:c r="M63" s="73" t="str"/>
      <x:c r="N63" s="73" t="str"/>
      <x:c r="O63" s="73" t="str">
        <x:v>기대 결과와 일치</x:v>
      </x:c>
      <x:c r="P63" s="73" t="str">
        <x:v>outputs/full-plan-20260719/102-functional-frontdesk.json</x:v>
      </x:c>
    </x:row>
    <x:row r="64">
      <x:c r="A64" s="80" t="n">
        <x:v>60</x:v>
      </x:c>
      <x:c r="B64" s="81" t="str">
        <x:v>RES-BOARD-012</x:v>
      </x:c>
      <x:c r="C64" s="73" t="str">
        <x:v>7.3 예약 현황</x:v>
      </x:c>
      <x:c r="D64" s="81" t="str">
        <x:v>P0</x:v>
      </x:c>
      <x:c r="E64" s="73" t="str"/>
      <x:c r="F64" s="73" t="str">
        <x:v>dashboard/frontdesk/reservation-board.html</x:v>
      </x:c>
      <x:c r="G64" s="73" t="str">
        <x:v>객실 이동</x:v>
      </x:c>
      <x:c r="H64" s="73" t="str">
        <x:v>원 객실/신 객실, 이동 이력, 카운트가 모두 반영</x:v>
      </x:c>
      <x:c r="I64" s="81" t="str">
        <x:v>PASS</x:v>
      </x:c>
      <x:c r="J64" s="81" t="str">
        <x:v>성공</x:v>
      </x:c>
      <x:c r="K64" s="81" t="str">
        <x:v>수정 없음</x:v>
      </x:c>
      <x:c r="L64" s="73" t="str"/>
      <x:c r="M64" s="73" t="str"/>
      <x:c r="N64" s="73" t="str"/>
      <x:c r="O64" s="73" t="str">
        <x:v>기대 결과와 일치</x:v>
      </x:c>
      <x:c r="P64" s="73" t="str">
        <x:v>outputs/full-plan-20260719/102-functional-frontdesk.json</x:v>
      </x:c>
    </x:row>
    <x:row r="65">
      <x:c r="A65" s="80" t="n">
        <x:v>61</x:v>
      </x:c>
      <x:c r="B65" s="81" t="str">
        <x:v>RES-BOARD-013</x:v>
      </x:c>
      <x:c r="C65" s="73" t="str">
        <x:v>7.3 예약 현황</x:v>
      </x:c>
      <x:c r="D65" s="81" t="str">
        <x:v>P0</x:v>
      </x:c>
      <x:c r="E65" s="73" t="str"/>
      <x:c r="F65" s="73" t="str">
        <x:v>dashboard/frontdesk/reservation-board.html</x:v>
      </x:c>
      <x:c r="G65" s="73" t="str">
        <x:v>객실 변경 필터</x:v>
      </x:c>
      <x:c r="H65" s="73" t="str">
        <x:v>카운트가 변경 이력 건수인지 현재 카드 수인지 정의와 일치하고 목록 누락 없음</x:v>
      </x:c>
      <x:c r="I65" s="81" t="str">
        <x:v>PASS</x:v>
      </x:c>
      <x:c r="J65" s="81" t="str">
        <x:v>성공</x:v>
      </x:c>
      <x:c r="K65" s="81" t="str">
        <x:v>수정 없음</x:v>
      </x:c>
      <x:c r="L65" s="73" t="str"/>
      <x:c r="M65" s="73" t="str"/>
      <x:c r="N65" s="73" t="str"/>
      <x:c r="O65" s="73" t="str">
        <x:v>기대 결과와 일치</x:v>
      </x:c>
      <x:c r="P65" s="73" t="str">
        <x:v>outputs/full-plan-20260719/102-functional-frontdesk.json</x:v>
      </x:c>
    </x:row>
    <x:row r="66">
      <x:c r="A66" s="80" t="n">
        <x:v>62</x:v>
      </x:c>
      <x:c r="B66" s="81" t="str">
        <x:v>RES-BOARD-014</x:v>
      </x:c>
      <x:c r="C66" s="73" t="str">
        <x:v>7.3 예약 현황</x:v>
      </x:c>
      <x:c r="D66" s="81" t="str">
        <x:v>P0</x:v>
      </x:c>
      <x:c r="E66" s="73" t="str"/>
      <x:c r="F66" s="73" t="str">
        <x:v>dashboard/frontdesk/reservation-board.html</x:v>
      </x:c>
      <x:c r="G66" s="73" t="str">
        <x:v>예약 취소</x:v>
      </x:c>
      <x:c r="H66" s="73" t="str">
        <x:v>카드 제거/취소 상태, 객실 재고, 취소 필터, 로그 동기화</x:v>
      </x:c>
      <x:c r="I66" s="81" t="str">
        <x:v>PASS</x:v>
      </x:c>
      <x:c r="J66" s="81" t="str">
        <x:v>성공</x:v>
      </x:c>
      <x:c r="K66" s="81" t="str">
        <x:v>수정 없음</x:v>
      </x:c>
      <x:c r="L66" s="73" t="str"/>
      <x:c r="M66" s="73" t="str"/>
      <x:c r="N66" s="73" t="str"/>
      <x:c r="O66" s="73" t="str">
        <x:v>기대 결과와 일치</x:v>
      </x:c>
      <x:c r="P66" s="73" t="str">
        <x:v>outputs/full-plan-20260719/102-functional-frontdesk.json</x:v>
      </x:c>
    </x:row>
    <x:row r="67">
      <x:c r="A67" s="80" t="n">
        <x:v>63</x:v>
      </x:c>
      <x:c r="B67" s="81" t="str">
        <x:v>RES-BOARD-015</x:v>
      </x:c>
      <x:c r="C67" s="73" t="str">
        <x:v>7.3 예약 현황</x:v>
      </x:c>
      <x:c r="D67" s="81" t="str">
        <x:v>P0</x:v>
      </x:c>
      <x:c r="E67" s="73" t="str"/>
      <x:c r="F67" s="73" t="str">
        <x:v>dashboard/frontdesk/reservation-board.html</x:v>
      </x:c>
      <x:c r="G67" s="73" t="str">
        <x:v>노쇼 처리</x:v>
      </x:c>
      <x:c r="H67" s="73" t="str">
        <x:v>노쇼 필터와 객실 재고가 정확히 반영</x:v>
      </x:c>
      <x:c r="I67" s="81" t="str">
        <x:v>PASS</x:v>
      </x:c>
      <x:c r="J67" s="81" t="str">
        <x:v>성공</x:v>
      </x:c>
      <x:c r="K67" s="81" t="str">
        <x:v>수정 없음</x:v>
      </x:c>
      <x:c r="L67" s="73" t="str"/>
      <x:c r="M67" s="73" t="str"/>
      <x:c r="N67" s="73" t="str"/>
      <x:c r="O67" s="73" t="str">
        <x:v>기대 결과와 일치</x:v>
      </x:c>
      <x:c r="P67" s="73" t="str">
        <x:v>outputs/full-plan-20260719/102-functional-frontdesk.json</x:v>
      </x:c>
    </x:row>
    <x:row r="68">
      <x:c r="A68" s="80" t="n">
        <x:v>64</x:v>
      </x:c>
      <x:c r="B68" s="81" t="str">
        <x:v>RES-BOARD-016</x:v>
      </x:c>
      <x:c r="C68" s="73" t="str">
        <x:v>7.3 예약 현황</x:v>
      </x:c>
      <x:c r="D68" s="81" t="str">
        <x:v>P1</x:v>
      </x:c>
      <x:c r="E68" s="73" t="str"/>
      <x:c r="F68" s="73" t="str">
        <x:v>dashboard/frontdesk/reservation-board.html</x:v>
      </x:c>
      <x:c r="G68" s="73" t="str">
        <x:v>청소 상태 select 변경</x:v>
      </x:c>
      <x:c r="H68" s="73" t="str">
        <x:v>상태별 동일 스타일, hover 떨림 없음, 하우스키핑 동기화</x:v>
      </x:c>
      <x:c r="I68" s="81" t="str">
        <x:v>PASS</x:v>
      </x:c>
      <x:c r="J68" s="81" t="str">
        <x:v>성공</x:v>
      </x:c>
      <x:c r="K68" s="81" t="str">
        <x:v>수정 없음</x:v>
      </x:c>
      <x:c r="L68" s="73" t="str"/>
      <x:c r="M68" s="73" t="str"/>
      <x:c r="N68" s="73" t="str"/>
      <x:c r="O68" s="73" t="str">
        <x:v>기대 결과와 일치</x:v>
      </x:c>
      <x:c r="P68" s="73" t="str">
        <x:v>outputs/full-plan-20260719/102-functional-frontdesk.json</x:v>
      </x:c>
    </x:row>
    <x:row r="69">
      <x:c r="A69" s="80" t="n">
        <x:v>65</x:v>
      </x:c>
      <x:c r="B69" s="81" t="str">
        <x:v>RES-BOARD-017</x:v>
      </x:c>
      <x:c r="C69" s="73" t="str">
        <x:v>7.3 예약 현황</x:v>
      </x:c>
      <x:c r="D69" s="81" t="str">
        <x:v>P1</x:v>
      </x:c>
      <x:c r="E69" s="73" t="str"/>
      <x:c r="F69" s="73" t="str">
        <x:v>dashboard/frontdesk/reservation-board.html</x:v>
      </x:c>
      <x:c r="G69" s="73" t="str">
        <x:v>카드 hover/focus 30초 유지</x:v>
      </x:c>
      <x:c r="H69" s="73" t="str">
        <x:v>위치/크기/색상이 반복 전환하지 않음</x:v>
      </x:c>
      <x:c r="I69" s="81" t="str">
        <x:v>PASS</x:v>
      </x:c>
      <x:c r="J69" s="81" t="str">
        <x:v>성공</x:v>
      </x:c>
      <x:c r="K69" s="81" t="str">
        <x:v>수정 없음</x:v>
      </x:c>
      <x:c r="L69" s="73" t="str"/>
      <x:c r="M69" s="73" t="str"/>
      <x:c r="N69" s="73" t="str"/>
      <x:c r="O69" s="73" t="str">
        <x:v>기대 결과와 일치</x:v>
      </x:c>
      <x:c r="P69" s="73" t="str">
        <x:v>outputs/full-plan-20260719/102-functional-frontdesk.json</x:v>
      </x:c>
    </x:row>
    <x:row r="70">
      <x:c r="A70" s="80" t="n">
        <x:v>66</x:v>
      </x:c>
      <x:c r="B70" s="81" t="str">
        <x:v>RES-BOARD-018</x:v>
      </x:c>
      <x:c r="C70" s="73" t="str">
        <x:v>7.3 예약 현황</x:v>
      </x:c>
      <x:c r="D70" s="81" t="str">
        <x:v>P1</x:v>
      </x:c>
      <x:c r="E70" s="73" t="str"/>
      <x:c r="F70" s="73" t="str">
        <x:v>dashboard/frontdesk/reservation-board.html</x:v>
      </x:c>
      <x:c r="G70" s="73" t="str">
        <x:v>같은 예약을 전체와 상태 필터에서 비교</x:v>
      </x:c>
      <x:c r="H70" s="73" t="str">
        <x:v>이름, 날짜, 금액, 배지, 카드 색상이 동일</x:v>
      </x:c>
      <x:c r="I70" s="81" t="str">
        <x:v>PASS</x:v>
      </x:c>
      <x:c r="J70" s="81" t="str">
        <x:v>성공</x:v>
      </x:c>
      <x:c r="K70" s="81" t="str">
        <x:v>수정 없음</x:v>
      </x:c>
      <x:c r="L70" s="73" t="str"/>
      <x:c r="M70" s="73" t="str"/>
      <x:c r="N70" s="73" t="str"/>
      <x:c r="O70" s="73" t="str">
        <x:v>기대 결과와 일치</x:v>
      </x:c>
      <x:c r="P70" s="73" t="str">
        <x:v>outputs/full-plan-20260719/102-functional-frontdesk.json</x:v>
      </x:c>
    </x:row>
    <x:row r="71">
      <x:c r="A71" s="80" t="n">
        <x:v>67</x:v>
      </x:c>
      <x:c r="B71" s="81" t="str">
        <x:v>RES-BOARD-019</x:v>
      </x:c>
      <x:c r="C71" s="73" t="str">
        <x:v>7.3 예약 현황</x:v>
      </x:c>
      <x:c r="D71" s="81" t="str">
        <x:v>P1</x:v>
      </x:c>
      <x:c r="E71" s="73" t="str"/>
      <x:c r="F71" s="73" t="str">
        <x:v>dashboard/frontdesk/reservation-board.html</x:v>
      </x:c>
      <x:c r="G71" s="73" t="str">
        <x:v>플랫카드 미리보기/항공편 저장/인쇄</x:v>
      </x:c>
      <x:c r="H71" s="73" t="str">
        <x:v>체크인 대상에서만 노출, 실시간 미리보기, 가로 인쇄 레이아웃 일치</x:v>
      </x:c>
      <x:c r="I71" s="81" t="str">
        <x:v>BLOCKED</x:v>
      </x:c>
      <x:c r="J71" s="81" t="str">
        <x:v>차단</x:v>
      </x:c>
      <x:c r="K71" s="81" t="str">
        <x:v>검증 차단</x:v>
      </x:c>
      <x:c r="L71" s="73" t="str"/>
      <x:c r="M71" s="73" t="str">
        <x:v>OS 프린터와 용지 설정이 연결되지 않은 테스트 환경</x:v>
      </x:c>
      <x:c r="N71" s="73" t="str"/>
      <x:c r="O71" s="73" t="str">
        <x:v>화면·데이터·브라우저 단계까지 확인했으나 실제 인쇄 검증은 외부 환경이 필요함</x:v>
      </x:c>
      <x:c r="P71" s="73" t="str">
        <x:v>outputs/full-plan-20260719/102-functional-frontdesk.json</x:v>
      </x:c>
    </x:row>
    <x:row r="72">
      <x:c r="A72" s="80" t="n">
        <x:v>68</x:v>
      </x:c>
      <x:c r="B72" s="81" t="str">
        <x:v>RES-BOARD-020</x:v>
      </x:c>
      <x:c r="C72" s="73" t="str">
        <x:v>7.3 예약 현황</x:v>
      </x:c>
      <x:c r="D72" s="81" t="str">
        <x:v>P1</x:v>
      </x:c>
      <x:c r="E72" s="73" t="str"/>
      <x:c r="F72" s="73" t="str">
        <x:v>dashboard/frontdesk/reservation-board.html</x:v>
      </x:c>
      <x:c r="G72" s="73" t="str">
        <x:v>영어 필터 한 줄 표시</x:v>
      </x:c>
      <x:c r="H72" s="73" t="str">
        <x:v>축약 라벨로 한 줄 유지하거나 정상 줄바꿈, 버튼 겹침 없음</x:v>
      </x:c>
      <x:c r="I72" s="81" t="str">
        <x:v>PASS</x:v>
      </x:c>
      <x:c r="J72" s="81" t="str">
        <x:v>성공</x:v>
      </x:c>
      <x:c r="K72" s="81" t="str">
        <x:v>수정 없음</x:v>
      </x:c>
      <x:c r="L72" s="73" t="str"/>
      <x:c r="M72" s="73" t="str"/>
      <x:c r="N72" s="73" t="str"/>
      <x:c r="O72" s="73" t="str">
        <x:v>기대 결과와 일치</x:v>
      </x:c>
      <x:c r="P72" s="73" t="str">
        <x:v>outputs/full-plan-20260719/102-functional-frontdesk.json</x:v>
      </x:c>
    </x:row>
    <x:row r="73">
      <x:c r="A73" s="80" t="n">
        <x:v>69</x:v>
      </x:c>
      <x:c r="B73" s="81" t="str">
        <x:v>RES-BOARD-021</x:v>
      </x:c>
      <x:c r="C73" s="73" t="str">
        <x:v>7.3 예약 현황</x:v>
      </x:c>
      <x:c r="D73" s="81" t="str">
        <x:v>P1</x:v>
      </x:c>
      <x:c r="E73" s="73" t="str"/>
      <x:c r="F73" s="73" t="str">
        <x:v>dashboard/frontdesk/reservation-board.html</x:v>
      </x:c>
      <x:c r="G73" s="73" t="str">
        <x:v>검색 후 상태 필터</x:v>
      </x:c>
      <x:c r="H73" s="73" t="str">
        <x:v>객실/이름/단체 검색과 필터 교집합만 표시</x:v>
      </x:c>
      <x:c r="I73" s="81" t="str">
        <x:v>PASS</x:v>
      </x:c>
      <x:c r="J73" s="81" t="str">
        <x:v>성공</x:v>
      </x:c>
      <x:c r="K73" s="81" t="str">
        <x:v>수정 없음</x:v>
      </x:c>
      <x:c r="L73" s="73" t="str"/>
      <x:c r="M73" s="73" t="str"/>
      <x:c r="N73" s="73" t="str"/>
      <x:c r="O73" s="73" t="str">
        <x:v>기대 결과와 일치</x:v>
      </x:c>
      <x:c r="P73" s="73" t="str">
        <x:v>outputs/full-plan-20260719/102-functional-frontdesk.json</x:v>
      </x:c>
    </x:row>
    <x:row r="74">
      <x:c r="A74" s="80" t="n">
        <x:v>70</x:v>
      </x:c>
      <x:c r="B74" s="81" t="str">
        <x:v>RES-BOARD-022</x:v>
      </x:c>
      <x:c r="C74" s="73" t="str">
        <x:v>7.3 예약 현황</x:v>
      </x:c>
      <x:c r="D74" s="81" t="str">
        <x:v>P1</x:v>
      </x:c>
      <x:c r="E74" s="73" t="str"/>
      <x:c r="F74" s="73" t="str">
        <x:v>dashboard/frontdesk/reservation-board.html</x:v>
      </x:c>
      <x:c r="G74" s="73" t="str">
        <x:v>건물/층 펼침 상태</x:v>
      </x:c>
      <x:c r="H74" s="73" t="str">
        <x:v>필터 변경 후 대상이 있는 층만 정확히 표시하고 카운트 일치</x:v>
      </x:c>
      <x:c r="I74" s="81" t="str">
        <x:v>PASS</x:v>
      </x:c>
      <x:c r="J74" s="81" t="str">
        <x:v>성공</x:v>
      </x:c>
      <x:c r="K74" s="81" t="str">
        <x:v>수정 없음</x:v>
      </x:c>
      <x:c r="L74" s="73" t="str"/>
      <x:c r="M74" s="73" t="str"/>
      <x:c r="N74" s="73" t="str"/>
      <x:c r="O74" s="73" t="str">
        <x:v>기대 결과와 일치</x:v>
      </x:c>
      <x:c r="P74" s="73" t="str">
        <x:v>outputs/full-plan-20260719/102-functional-frontdesk.json</x:v>
      </x:c>
    </x:row>
    <x:row r="75">
      <x:c r="A75" s="80" t="n">
        <x:v>71</x:v>
      </x:c>
      <x:c r="B75" s="81" t="str">
        <x:v>RES-TIME-001</x:v>
      </x:c>
      <x:c r="C75" s="73" t="str">
        <x:v>7.4 예약 타임라인</x:v>
      </x:c>
      <x:c r="D75" s="81" t="str">
        <x:v>P0</x:v>
      </x:c>
      <x:c r="E75" s="73" t="str"/>
      <x:c r="F75" s="73" t="str">
        <x:v>dashboard/frontdesk/reservation-timeline.html</x:v>
      </x:c>
      <x:c r="G75" s="73" t="str">
        <x:v>날짜 범위 이전/다음/오늘</x:v>
      </x:c>
      <x:c r="H75" s="73" t="str">
        <x:v>날짜 헤더와 예약 막대가 정확히 이동</x:v>
      </x:c>
      <x:c r="I75" s="81" t="str">
        <x:v>PASS</x:v>
      </x:c>
      <x:c r="J75" s="81" t="str">
        <x:v>성공</x:v>
      </x:c>
      <x:c r="K75" s="81" t="str">
        <x:v>수정 없음</x:v>
      </x:c>
      <x:c r="L75" s="73" t="str"/>
      <x:c r="M75" s="73" t="str"/>
      <x:c r="N75" s="73" t="str"/>
      <x:c r="O75" s="73" t="str">
        <x:v>기대 결과와 일치</x:v>
      </x:c>
      <x:c r="P75" s="73" t="str">
        <x:v>outputs/full-plan-20260719/102-functional-frontdesk.json</x:v>
      </x:c>
    </x:row>
    <x:row r="76">
      <x:c r="A76" s="80" t="n">
        <x:v>72</x:v>
      </x:c>
      <x:c r="B76" s="81" t="str">
        <x:v>RES-TIME-002</x:v>
      </x:c>
      <x:c r="C76" s="73" t="str">
        <x:v>7.4 예약 타임라인</x:v>
      </x:c>
      <x:c r="D76" s="81" t="str">
        <x:v>P0</x:v>
      </x:c>
      <x:c r="E76" s="73" t="str"/>
      <x:c r="F76" s="73" t="str">
        <x:v>dashboard/frontdesk/reservation-timeline.html</x:v>
      </x:c>
      <x:c r="G76" s="73" t="str">
        <x:v>연속 투숙 예약 표시</x:v>
      </x:c>
      <x:c r="H76" s="73" t="str">
        <x:v>하나의 예약은 날짜별로 쪼개지지 않고 단일 연속 막대</x:v>
      </x:c>
      <x:c r="I76" s="81" t="str">
        <x:v>PASS</x:v>
      </x:c>
      <x:c r="J76" s="81" t="str">
        <x:v>성공</x:v>
      </x:c>
      <x:c r="K76" s="81" t="str">
        <x:v>수정 없음</x:v>
      </x:c>
      <x:c r="L76" s="73" t="str"/>
      <x:c r="M76" s="73" t="str"/>
      <x:c r="N76" s="73" t="str"/>
      <x:c r="O76" s="73" t="str">
        <x:v>기대 결과와 일치</x:v>
      </x:c>
      <x:c r="P76" s="73" t="str">
        <x:v>outputs/full-plan-20260719/102-functional-frontdesk.json</x:v>
      </x:c>
    </x:row>
    <x:row r="77">
      <x:c r="A77" s="80" t="n">
        <x:v>73</x:v>
      </x:c>
      <x:c r="B77" s="81" t="str">
        <x:v>RES-TIME-003</x:v>
      </x:c>
      <x:c r="C77" s="73" t="str">
        <x:v>7.4 예약 타임라인</x:v>
      </x:c>
      <x:c r="D77" s="81" t="str">
        <x:v>P0</x:v>
      </x:c>
      <x:c r="E77" s="73" t="str"/>
      <x:c r="F77" s="73" t="str">
        <x:v>dashboard/frontdesk/reservation-timeline.html</x:v>
      </x:c>
      <x:c r="G77" s="73" t="str">
        <x:v>체크인/체크아웃/미도착/예약/단체 상태</x:v>
      </x:c>
      <x:c r="H77" s="73" t="str">
        <x:v>예약 현황과 같은 상태 및 색상</x:v>
      </x:c>
      <x:c r="I77" s="81" t="str">
        <x:v>PASS</x:v>
      </x:c>
      <x:c r="J77" s="81" t="str">
        <x:v>성공</x:v>
      </x:c>
      <x:c r="K77" s="81" t="str">
        <x:v>수정 없음</x:v>
      </x:c>
      <x:c r="L77" s="73" t="str"/>
      <x:c r="M77" s="73" t="str"/>
      <x:c r="N77" s="73" t="str"/>
      <x:c r="O77" s="73" t="str">
        <x:v>기대 결과와 일치</x:v>
      </x:c>
      <x:c r="P77" s="73" t="str">
        <x:v>outputs/full-plan-20260719/102-functional-frontdesk.json</x:v>
      </x:c>
    </x:row>
    <x:row r="78">
      <x:c r="A78" s="80" t="n">
        <x:v>74</x:v>
      </x:c>
      <x:c r="B78" s="81" t="str">
        <x:v>RES-TIME-004</x:v>
      </x:c>
      <x:c r="C78" s="73" t="str">
        <x:v>7.4 예약 타임라인</x:v>
      </x:c>
      <x:c r="D78" s="81" t="str">
        <x:v>P0</x:v>
      </x:c>
      <x:c r="E78" s="73" t="str"/>
      <x:c r="F78" s="73" t="str">
        <x:v>dashboard/frontdesk/reservation-timeline.html</x:v>
      </x:c>
      <x:c r="G78" s="73" t="str">
        <x:v>타임라인 예약 클릭</x:v>
      </x:c>
      <x:c r="H78" s="73" t="str">
        <x:v>정확한 예약/객실 상세 팝업 열림</x:v>
      </x:c>
      <x:c r="I78" s="81" t="str">
        <x:v>PASS</x:v>
      </x:c>
      <x:c r="J78" s="81" t="str">
        <x:v>성공</x:v>
      </x:c>
      <x:c r="K78" s="81" t="str">
        <x:v>수정 없음</x:v>
      </x:c>
      <x:c r="L78" s="73" t="str"/>
      <x:c r="M78" s="73" t="str"/>
      <x:c r="N78" s="73" t="str"/>
      <x:c r="O78" s="73" t="str">
        <x:v>기대 결과와 일치</x:v>
      </x:c>
      <x:c r="P78" s="73" t="str">
        <x:v>outputs/full-plan-20260719/102-functional-frontdesk.json</x:v>
      </x:c>
    </x:row>
    <x:row r="79">
      <x:c r="A79" s="80" t="n">
        <x:v>75</x:v>
      </x:c>
      <x:c r="B79" s="81" t="str">
        <x:v>RES-TIME-005</x:v>
      </x:c>
      <x:c r="C79" s="73" t="str">
        <x:v>7.4 예약 타임라인</x:v>
      </x:c>
      <x:c r="D79" s="81" t="str">
        <x:v>P0</x:v>
      </x:c>
      <x:c r="E79" s="73" t="str"/>
      <x:c r="F79" s="73" t="str">
        <x:v>dashboard/frontdesk/reservation-timeline.html</x:v>
      </x:c>
      <x:c r="G79" s="73" t="str">
        <x:v>객실 이동 예약</x:v>
      </x:c>
      <x:c r="H79" s="73" t="str">
        <x:v>이동 전후 객실과 기간이 이력 기준으로 정확히 표현</x:v>
      </x:c>
      <x:c r="I79" s="81" t="str">
        <x:v>PASS</x:v>
      </x:c>
      <x:c r="J79" s="81" t="str">
        <x:v>성공</x:v>
      </x:c>
      <x:c r="K79" s="81" t="str">
        <x:v>수정 없음</x:v>
      </x:c>
      <x:c r="L79" s="73" t="str"/>
      <x:c r="M79" s="73" t="str"/>
      <x:c r="N79" s="73" t="str"/>
      <x:c r="O79" s="73" t="str">
        <x:v>기대 결과와 일치</x:v>
      </x:c>
      <x:c r="P79" s="73" t="str">
        <x:v>outputs/full-plan-20260719/102-functional-frontdesk.json</x:v>
      </x:c>
    </x:row>
    <x:row r="80">
      <x:c r="A80" s="80" t="n">
        <x:v>76</x:v>
      </x:c>
      <x:c r="B80" s="81" t="str">
        <x:v>RES-TIME-006</x:v>
      </x:c>
      <x:c r="C80" s="73" t="str">
        <x:v>7.4 예약 타임라인</x:v>
      </x:c>
      <x:c r="D80" s="81" t="str">
        <x:v>P1</x:v>
      </x:c>
      <x:c r="E80" s="73" t="str"/>
      <x:c r="F80" s="73" t="str">
        <x:v>dashboard/frontdesk/reservation-timeline.html</x:v>
      </x:c>
      <x:c r="G80" s="73" t="str">
        <x:v>단체 예약/미배정 객실</x:v>
      </x:c>
      <x:c r="H80" s="73" t="str">
        <x:v>단체명, 대표/동반 투숙객, 미배정 상태가 구분</x:v>
      </x:c>
      <x:c r="I80" s="81" t="str">
        <x:v>PASS</x:v>
      </x:c>
      <x:c r="J80" s="81" t="str">
        <x:v>성공</x:v>
      </x:c>
      <x:c r="K80" s="81" t="str">
        <x:v>수정 없음</x:v>
      </x:c>
      <x:c r="L80" s="73" t="str"/>
      <x:c r="M80" s="73" t="str"/>
      <x:c r="N80" s="73" t="str"/>
      <x:c r="O80" s="73" t="str">
        <x:v>기대 결과와 일치</x:v>
      </x:c>
      <x:c r="P80" s="73" t="str">
        <x:v>outputs/full-plan-20260719/102-functional-frontdesk.json</x:v>
      </x:c>
    </x:row>
    <x:row r="81">
      <x:c r="A81" s="80" t="n">
        <x:v>77</x:v>
      </x:c>
      <x:c r="B81" s="81" t="str">
        <x:v>RES-TIME-007</x:v>
      </x:c>
      <x:c r="C81" s="73" t="str">
        <x:v>7.4 예약 타임라인</x:v>
      </x:c>
      <x:c r="D81" s="81" t="str">
        <x:v>P1</x:v>
      </x:c>
      <x:c r="E81" s="73" t="str"/>
      <x:c r="F81" s="73" t="str">
        <x:v>dashboard/frontdesk/reservation-timeline.html</x:v>
      </x:c>
      <x:c r="G81" s="73" t="str">
        <x:v>긴 이름/단체명</x:v>
      </x:c>
      <x:c r="H81" s="73" t="str">
        <x:v>행 높이와 막대가 잘리지 않음</x:v>
      </x:c>
      <x:c r="I81" s="81" t="str">
        <x:v>PASS</x:v>
      </x:c>
      <x:c r="J81" s="81" t="str">
        <x:v>성공</x:v>
      </x:c>
      <x:c r="K81" s="81" t="str">
        <x:v>수정 없음</x:v>
      </x:c>
      <x:c r="L81" s="73" t="str"/>
      <x:c r="M81" s="73" t="str"/>
      <x:c r="N81" s="73" t="str"/>
      <x:c r="O81" s="73" t="str">
        <x:v>기대 결과와 일치</x:v>
      </x:c>
      <x:c r="P81" s="73" t="str">
        <x:v>outputs/full-plan-20260719/102-functional-frontdesk.json</x:v>
      </x:c>
    </x:row>
    <x:row r="82">
      <x:c r="A82" s="80" t="n">
        <x:v>78</x:v>
      </x:c>
      <x:c r="B82" s="81" t="str">
        <x:v>RES-TIME-008</x:v>
      </x:c>
      <x:c r="C82" s="73" t="str">
        <x:v>7.4 예약 타임라인</x:v>
      </x:c>
      <x:c r="D82" s="81" t="str">
        <x:v>P1</x:v>
      </x:c>
      <x:c r="E82" s="73" t="str"/>
      <x:c r="F82" s="73" t="str">
        <x:v>dashboard/frontdesk/reservation-timeline.html</x:v>
      </x:c>
      <x:c r="G82" s="73" t="str">
        <x:v>모바일 가로 이동</x:v>
      </x:c>
      <x:c r="H82" s="73" t="str">
        <x:v>헤더와 객실 행이 어긋나지 않고 스크롤 가능</x:v>
      </x:c>
      <x:c r="I82" s="81" t="str">
        <x:v>PASS</x:v>
      </x:c>
      <x:c r="J82" s="81" t="str">
        <x:v>성공</x:v>
      </x:c>
      <x:c r="K82" s="81" t="str">
        <x:v>수정 없음</x:v>
      </x:c>
      <x:c r="L82" s="73" t="str"/>
      <x:c r="M82" s="73" t="str"/>
      <x:c r="N82" s="73" t="str"/>
      <x:c r="O82" s="73" t="str">
        <x:v>기대 결과와 일치</x:v>
      </x:c>
      <x:c r="P82" s="73" t="str">
        <x:v>outputs/full-plan-20260719/102-functional-frontdesk.json</x:v>
      </x:c>
    </x:row>
    <x:row r="83">
      <x:c r="A83" s="80" t="n">
        <x:v>79</x:v>
      </x:c>
      <x:c r="B83" s="81" t="str">
        <x:v>RES-TIME-009</x:v>
      </x:c>
      <x:c r="C83" s="73" t="str">
        <x:v>7.4 예약 타임라인</x:v>
      </x:c>
      <x:c r="D83" s="81" t="str">
        <x:v>P1</x:v>
      </x:c>
      <x:c r="E83" s="73" t="str"/>
      <x:c r="F83" s="73" t="str">
        <x:v>dashboard/frontdesk/reservation-timeline.html</x:v>
      </x:c>
      <x:c r="G83" s="73" t="str">
        <x:v>미래 데이터 상태</x:v>
      </x:c>
      <x:c r="H83" s="73" t="str">
        <x:v>미래 예약이 체크인 완료나 투숙 중으로 표시되지 않음</x:v>
      </x:c>
      <x:c r="I83" s="81" t="str">
        <x:v>PASS</x:v>
      </x:c>
      <x:c r="J83" s="81" t="str">
        <x:v>성공</x:v>
      </x:c>
      <x:c r="K83" s="81" t="str">
        <x:v>수정 없음</x:v>
      </x:c>
      <x:c r="L83" s="73" t="str"/>
      <x:c r="M83" s="73" t="str"/>
      <x:c r="N83" s="73" t="str"/>
      <x:c r="O83" s="73" t="str">
        <x:v>기대 결과와 일치</x:v>
      </x:c>
      <x:c r="P83" s="73" t="str">
        <x:v>outputs/full-plan-20260719/102-functional-frontdesk.json</x:v>
      </x:c>
    </x:row>
    <x:row r="84">
      <x:c r="A84" s="80" t="n">
        <x:v>80</x:v>
      </x:c>
      <x:c r="B84" s="81" t="str">
        <x:v>RES-TIME-010</x:v>
      </x:c>
      <x:c r="C84" s="73" t="str">
        <x:v>7.4 예약 타임라인</x:v>
      </x:c>
      <x:c r="D84" s="81" t="str">
        <x:v>P1</x:v>
      </x:c>
      <x:c r="E84" s="73" t="str"/>
      <x:c r="F84" s="73" t="str">
        <x:v>dashboard/frontdesk/reservation-timeline.html</x:v>
      </x:c>
      <x:c r="G84" s="73" t="str">
        <x:v>예약 현황과 동일 객실 비교</x:v>
      </x:c>
      <x:c r="H84" s="73" t="str">
        <x:v>날짜, 상태, 이름, 색상, 금액이 일치</x:v>
      </x:c>
      <x:c r="I84" s="81" t="str">
        <x:v>PASS</x:v>
      </x:c>
      <x:c r="J84" s="81" t="str">
        <x:v>성공</x:v>
      </x:c>
      <x:c r="K84" s="81" t="str">
        <x:v>수정 없음</x:v>
      </x:c>
      <x:c r="L84" s="73" t="str"/>
      <x:c r="M84" s="73" t="str"/>
      <x:c r="N84" s="73" t="str"/>
      <x:c r="O84" s="73" t="str">
        <x:v>기대 결과와 일치</x:v>
      </x:c>
      <x:c r="P84" s="73" t="str">
        <x:v>outputs/full-plan-20260719/102-functional-frontdesk.json</x:v>
      </x:c>
    </x:row>
    <x:row r="85">
      <x:c r="A85" s="80" t="n">
        <x:v>81</x:v>
      </x:c>
      <x:c r="B85" s="81" t="str">
        <x:v>RES-LIST-001</x:v>
      </x:c>
      <x:c r="C85" s="73" t="str">
        <x:v>7.5 예약 목록 및 체크인 호환 화면</x:v>
      </x:c>
      <x:c r="D85" s="81" t="str">
        <x:v>P0</x:v>
      </x:c>
      <x:c r="E85" s="73" t="str">
        <x:v>reservation-list</x:v>
      </x:c>
      <x:c r="F85" s="73" t="str">
        <x:v>dashboard/frontdesk/reservation-list.html</x:v>
      </x:c>
      <x:c r="G85" s="73" t="str">
        <x:v>전체 상태 필터 순회</x:v>
      </x:c>
      <x:c r="H85" s="73" t="str">
        <x:v>예약 현황과 동일 정의/카운트 사용</x:v>
      </x:c>
      <x:c r="I85" s="81" t="str">
        <x:v>PASS</x:v>
      </x:c>
      <x:c r="J85" s="81" t="str">
        <x:v>성공</x:v>
      </x:c>
      <x:c r="K85" s="81" t="str">
        <x:v>수정 없음</x:v>
      </x:c>
      <x:c r="L85" s="73" t="str"/>
      <x:c r="M85" s="73" t="str"/>
      <x:c r="N85" s="73" t="str"/>
      <x:c r="O85" s="73" t="str">
        <x:v>기대 결과와 일치</x:v>
      </x:c>
      <x:c r="P85" s="73" t="str">
        <x:v>outputs/full-plan-20260719/102-functional-frontdesk.json</x:v>
      </x:c>
    </x:row>
    <x:row r="86">
      <x:c r="A86" s="80" t="n">
        <x:v>82</x:v>
      </x:c>
      <x:c r="B86" s="81" t="str">
        <x:v>RES-LIST-002</x:v>
      </x:c>
      <x:c r="C86" s="73" t="str">
        <x:v>7.5 예약 목록 및 체크인 호환 화면</x:v>
      </x:c>
      <x:c r="D86" s="81" t="str">
        <x:v>P0</x:v>
      </x:c>
      <x:c r="E86" s="73" t="str">
        <x:v>reservation-list</x:v>
      </x:c>
      <x:c r="F86" s="73" t="str">
        <x:v>dashboard/frontdesk/reservation-list.html</x:v>
      </x:c>
      <x:c r="G86" s="73" t="str">
        <x:v>오늘 체크인 필터</x:v>
      </x:c>
      <x:c r="H86" s="73" t="str">
        <x:v>실제 오늘 도착 가능한 예약만 표시</x:v>
      </x:c>
      <x:c r="I86" s="81" t="str">
        <x:v>PASS</x:v>
      </x:c>
      <x:c r="J86" s="81" t="str">
        <x:v>성공</x:v>
      </x:c>
      <x:c r="K86" s="81" t="str">
        <x:v>수정 없음</x:v>
      </x:c>
      <x:c r="L86" s="73" t="str"/>
      <x:c r="M86" s="73" t="str"/>
      <x:c r="N86" s="73" t="str"/>
      <x:c r="O86" s="73" t="str">
        <x:v>기대 결과와 일치</x:v>
      </x:c>
      <x:c r="P86" s="73" t="str">
        <x:v>outputs/full-plan-20260719/102-functional-frontdesk.json</x:v>
      </x:c>
    </x:row>
    <x:row r="87">
      <x:c r="A87" s="80" t="n">
        <x:v>83</x:v>
      </x:c>
      <x:c r="B87" s="81" t="str">
        <x:v>RES-LIST-003</x:v>
      </x:c>
      <x:c r="C87" s="73" t="str">
        <x:v>7.5 예약 목록 및 체크인 호환 화면</x:v>
      </x:c>
      <x:c r="D87" s="81" t="str">
        <x:v>P0</x:v>
      </x:c>
      <x:c r="E87" s="73" t="str">
        <x:v>reservation-list</x:v>
      </x:c>
      <x:c r="F87" s="73" t="str">
        <x:v>dashboard/frontdesk/reservation-list.html</x:v>
      </x:c>
      <x:c r="G87" s="73" t="str">
        <x:v>검색/기간/상태 조합</x:v>
      </x:c>
      <x:c r="H87" s="73" t="str">
        <x:v>조건 교집합과 초기화 정상</x:v>
      </x:c>
      <x:c r="I87" s="81" t="str">
        <x:v>PASS</x:v>
      </x:c>
      <x:c r="J87" s="81" t="str">
        <x:v>성공</x:v>
      </x:c>
      <x:c r="K87" s="81" t="str">
        <x:v>수정 없음</x:v>
      </x:c>
      <x:c r="L87" s="73" t="str"/>
      <x:c r="M87" s="73" t="str"/>
      <x:c r="N87" s="73" t="str"/>
      <x:c r="O87" s="73" t="str">
        <x:v>기대 결과와 일치</x:v>
      </x:c>
      <x:c r="P87" s="73" t="str">
        <x:v>outputs/full-plan-20260719/102-functional-frontdesk.json</x:v>
      </x:c>
    </x:row>
    <x:row r="88">
      <x:c r="A88" s="80" t="n">
        <x:v>84</x:v>
      </x:c>
      <x:c r="B88" s="81" t="str">
        <x:v>RES-LIST-004</x:v>
      </x:c>
      <x:c r="C88" s="73" t="str">
        <x:v>7.5 예약 목록 및 체크인 호환 화면</x:v>
      </x:c>
      <x:c r="D88" s="81" t="str">
        <x:v>P0</x:v>
      </x:c>
      <x:c r="E88" s="73" t="str">
        <x:v>reservation-list</x:v>
      </x:c>
      <x:c r="F88" s="73" t="str">
        <x:v>dashboard/frontdesk/reservation-list.html</x:v>
      </x:c>
      <x:c r="G88" s="73" t="str">
        <x:v>신규 예약 등록</x:v>
      </x:c>
      <x:c r="H88" s="73" t="str">
        <x:v>필수값, 객실 상태 경고, 저장, 재진입 확인</x:v>
      </x:c>
      <x:c r="I88" s="81" t="str">
        <x:v>PASS</x:v>
      </x:c>
      <x:c r="J88" s="81" t="str">
        <x:v>성공</x:v>
      </x:c>
      <x:c r="K88" s="81" t="str">
        <x:v>수정 없음</x:v>
      </x:c>
      <x:c r="L88" s="73" t="str"/>
      <x:c r="M88" s="73" t="str"/>
      <x:c r="N88" s="73" t="str"/>
      <x:c r="O88" s="73" t="str">
        <x:v>기대 결과와 일치</x:v>
      </x:c>
      <x:c r="P88" s="73" t="str">
        <x:v>outputs/full-plan-20260719/102-functional-frontdesk.json</x:v>
      </x:c>
    </x:row>
    <x:row r="89">
      <x:c r="A89" s="80" t="n">
        <x:v>85</x:v>
      </x:c>
      <x:c r="B89" s="81" t="str">
        <x:v>RES-LIST-005</x:v>
      </x:c>
      <x:c r="C89" s="73" t="str">
        <x:v>7.5 예약 목록 및 체크인 호환 화면</x:v>
      </x:c>
      <x:c r="D89" s="81" t="str">
        <x:v>P0</x:v>
      </x:c>
      <x:c r="E89" s="73" t="str">
        <x:v>reservation-list</x:v>
      </x:c>
      <x:c r="F89" s="73" t="str">
        <x:v>dashboard/frontdesk/reservation-list.html</x:v>
      </x:c>
      <x:c r="G89" s="73" t="str">
        <x:v>예약 상세 수정</x:v>
      </x:c>
      <x:c r="H89" s="73" t="str">
        <x:v>고객, 일정, 객실, 요금, 예치금 변경 저장</x:v>
      </x:c>
      <x:c r="I89" s="81" t="str">
        <x:v>PASS</x:v>
      </x:c>
      <x:c r="J89" s="81" t="str">
        <x:v>성공</x:v>
      </x:c>
      <x:c r="K89" s="81" t="str">
        <x:v>수정 없음</x:v>
      </x:c>
      <x:c r="L89" s="73" t="str"/>
      <x:c r="M89" s="73" t="str"/>
      <x:c r="N89" s="73" t="str"/>
      <x:c r="O89" s="73" t="str">
        <x:v>기대 결과와 일치</x:v>
      </x:c>
      <x:c r="P89" s="73" t="str">
        <x:v>outputs/full-plan-20260719/102-functional-frontdesk.json</x:v>
      </x:c>
    </x:row>
    <x:row r="90">
      <x:c r="A90" s="80" t="n">
        <x:v>86</x:v>
      </x:c>
      <x:c r="B90" s="81" t="str">
        <x:v>RES-LIST-006</x:v>
      </x:c>
      <x:c r="C90" s="73" t="str">
        <x:v>7.5 예약 목록 및 체크인 호환 화면</x:v>
      </x:c>
      <x:c r="D90" s="81" t="str">
        <x:v>P0</x:v>
      </x:c>
      <x:c r="E90" s="73" t="str">
        <x:v>reservation-list</x:v>
      </x:c>
      <x:c r="F90" s="73" t="str">
        <x:v>dashboard/frontdesk/reservation-list.html</x:v>
      </x:c>
      <x:c r="G90" s="73" t="str">
        <x:v>체크인/체크아웃/취소</x:v>
      </x:c>
      <x:c r="H90" s="73" t="str">
        <x:v>상태별 가능한 버튼만 표시하고 교차 화면 동기화</x:v>
      </x:c>
      <x:c r="I90" s="81" t="str">
        <x:v>PASS</x:v>
      </x:c>
      <x:c r="J90" s="81" t="str">
        <x:v>성공</x:v>
      </x:c>
      <x:c r="K90" s="81" t="str">
        <x:v>수정 없음</x:v>
      </x:c>
      <x:c r="L90" s="73" t="str"/>
      <x:c r="M90" s="73" t="str"/>
      <x:c r="N90" s="73" t="str"/>
      <x:c r="O90" s="73" t="str">
        <x:v>기대 결과와 일치</x:v>
      </x:c>
      <x:c r="P90" s="73" t="str">
        <x:v>outputs/full-plan-20260719/102-functional-frontdesk.json</x:v>
      </x:c>
    </x:row>
    <x:row r="91">
      <x:c r="A91" s="80" t="n">
        <x:v>87</x:v>
      </x:c>
      <x:c r="B91" s="81" t="str">
        <x:v>RES-LIST-007</x:v>
      </x:c>
      <x:c r="C91" s="73" t="str">
        <x:v>7.5 예약 목록 및 체크인 호환 화면</x:v>
      </x:c>
      <x:c r="D91" s="81" t="str">
        <x:v>P1</x:v>
      </x:c>
      <x:c r="E91" s="73" t="str">
        <x:v>reservation-list</x:v>
      </x:c>
      <x:c r="F91" s="73" t="str">
        <x:v>dashboard/frontdesk/reservation-list.html</x:v>
      </x:c>
      <x:c r="G91" s="73" t="str">
        <x:v>단일 바우처 출력</x:v>
      </x:c>
      <x:c r="H91" s="73" t="str">
        <x:v>선택 목록을 다시 요구하지 않고 즉시 미리보기/출력</x:v>
      </x:c>
      <x:c r="I91" s="81" t="str">
        <x:v>BLOCKED</x:v>
      </x:c>
      <x:c r="J91" s="81" t="str">
        <x:v>차단</x:v>
      </x:c>
      <x:c r="K91" s="81" t="str">
        <x:v>검증 차단</x:v>
      </x:c>
      <x:c r="L91" s="73" t="str"/>
      <x:c r="M91" s="73" t="str">
        <x:v>OS 프린터가 연결되지 않아 예약 목록 출력물의 물리 결과를 확인할 수 없음</x:v>
      </x:c>
      <x:c r="N91" s="73" t="str"/>
      <x:c r="O91" s="73" t="str">
        <x:v>화면·데이터·브라우저 단계까지 확인했으나 실제 인쇄 검증은 외부 환경이 필요함</x:v>
      </x:c>
      <x:c r="P91" s="73" t="str">
        <x:v>outputs/full-plan-20260719/102-functional-frontdesk.json</x:v>
      </x:c>
    </x:row>
    <x:row r="92">
      <x:c r="A92" s="80" t="n">
        <x:v>88</x:v>
      </x:c>
      <x:c r="B92" s="81" t="str">
        <x:v>RES-LIST-008</x:v>
      </x:c>
      <x:c r="C92" s="73" t="str">
        <x:v>7.5 예약 목록 및 체크인 호환 화면</x:v>
      </x:c>
      <x:c r="D92" s="81" t="str">
        <x:v>P1</x:v>
      </x:c>
      <x:c r="E92" s="73" t="str">
        <x:v>reservation-list</x:v>
      </x:c>
      <x:c r="F92" s="73" t="str">
        <x:v>dashboard/frontdesk/reservation-list.html</x:v>
      </x:c>
      <x:c r="G92" s="73" t="str">
        <x:v>다중 바우처 출력</x:v>
      </x:c>
      <x:c r="H92" s="73" t="str">
        <x:v>선택 개수/대상/인쇄 페이지 정확</x:v>
      </x:c>
      <x:c r="I92" s="81" t="str">
        <x:v>BLOCKED</x:v>
      </x:c>
      <x:c r="J92" s="81" t="str">
        <x:v>차단</x:v>
      </x:c>
      <x:c r="K92" s="81" t="str">
        <x:v>검증 차단</x:v>
      </x:c>
      <x:c r="L92" s="73" t="str"/>
      <x:c r="M92" s="73" t="str">
        <x:v>OS 프린터가 연결되지 않아 다건 출력물의 물리 결과를 확인할 수 없음</x:v>
      </x:c>
      <x:c r="N92" s="73" t="str"/>
      <x:c r="O92" s="73" t="str">
        <x:v>화면·데이터·브라우저 단계까지 확인했으나 실제 인쇄 검증은 외부 환경이 필요함</x:v>
      </x:c>
      <x:c r="P92" s="73" t="str">
        <x:v>outputs/full-plan-20260719/102-functional-frontdesk.json</x:v>
      </x:c>
    </x:row>
    <x:row r="93">
      <x:c r="A93" s="80" t="n">
        <x:v>89</x:v>
      </x:c>
      <x:c r="B93" s="81" t="str">
        <x:v>RES-LIST-009</x:v>
      </x:c>
      <x:c r="C93" s="73" t="str">
        <x:v>7.5 예약 목록 및 체크인 호환 화면</x:v>
      </x:c>
      <x:c r="D93" s="81" t="str">
        <x:v>P1</x:v>
      </x:c>
      <x:c r="E93" s="73" t="str">
        <x:v>reservation-list</x:v>
      </x:c>
      <x:c r="F93" s="73" t="str">
        <x:v>dashboard/frontdesk/reservation-list.html</x:v>
      </x:c>
      <x:c r="G93" s="73" t="str">
        <x:v>페이지네이션</x:v>
      </x:c>
      <x:c r="H93" s="73" t="str">
        <x:v>총 건수, 현재 범위, 필터 후 페이지 초기화 정확</x:v>
      </x:c>
      <x:c r="I93" s="81" t="str">
        <x:v>PASS</x:v>
      </x:c>
      <x:c r="J93" s="81" t="str">
        <x:v>성공</x:v>
      </x:c>
      <x:c r="K93" s="81" t="str">
        <x:v>수정 없음</x:v>
      </x:c>
      <x:c r="L93" s="73" t="str"/>
      <x:c r="M93" s="73" t="str"/>
      <x:c r="N93" s="73" t="str"/>
      <x:c r="O93" s="73" t="str">
        <x:v>기대 결과와 일치</x:v>
      </x:c>
      <x:c r="P93" s="73" t="str">
        <x:v>outputs/full-plan-20260719/102-functional-frontdesk.json</x:v>
      </x:c>
    </x:row>
    <x:row r="94">
      <x:c r="A94" s="80" t="n">
        <x:v>90</x:v>
      </x:c>
      <x:c r="B94" s="81" t="str">
        <x:v>RES-LIST-010</x:v>
      </x:c>
      <x:c r="C94" s="73" t="str">
        <x:v>7.5 예약 목록 및 체크인 호환 화면</x:v>
      </x:c>
      <x:c r="D94" s="81" t="str">
        <x:v>P1</x:v>
      </x:c>
      <x:c r="E94" s="73" t="str">
        <x:v>reservation-list</x:v>
      </x:c>
      <x:c r="F94" s="73" t="str">
        <x:v>dashboard/frontdesk/reservation-list.html</x:v>
      </x:c>
      <x:c r="G94" s="73" t="str">
        <x:v>엑셀 다운로드</x:v>
      </x:c>
      <x:c r="H94" s="73" t="str">
        <x:v>현재 필터와 표시 컬럼 기준 파일 생성</x:v>
      </x:c>
      <x:c r="I94" s="81" t="str">
        <x:v>PASS</x:v>
      </x:c>
      <x:c r="J94" s="81" t="str">
        <x:v>성공</x:v>
      </x:c>
      <x:c r="K94" s="81" t="str">
        <x:v>수정 없음</x:v>
      </x:c>
      <x:c r="L94" s="73" t="str"/>
      <x:c r="M94" s="73" t="str"/>
      <x:c r="N94" s="73" t="str"/>
      <x:c r="O94" s="73" t="str">
        <x:v>기대 결과와 일치</x:v>
      </x:c>
      <x:c r="P94" s="73" t="str">
        <x:v>outputs/full-plan-20260719/102-functional-frontdesk.json</x:v>
      </x:c>
    </x:row>
    <x:row r="95">
      <x:c r="A95" s="80" t="n">
        <x:v>91</x:v>
      </x:c>
      <x:c r="B95" s="81" t="str">
        <x:v>RES-LIST-011</x:v>
      </x:c>
      <x:c r="C95" s="73" t="str">
        <x:v>7.5 예약 목록 및 체크인 호환 화면</x:v>
      </x:c>
      <x:c r="D95" s="81" t="str">
        <x:v>P1</x:v>
      </x:c>
      <x:c r="E95" s="73" t="str">
        <x:v>reservation-list</x:v>
      </x:c>
      <x:c r="F95" s="73" t="str">
        <x:v>dashboard/frontdesk/reservation-list.html</x:v>
      </x:c>
      <x:c r="G95" s="73" t="str">
        <x:v>영어 긴 버튼</x:v>
      </x:c>
      <x:c r="H95" s="73" t="str">
        <x:v>한 줄/두 줄 규칙대로 카드나 테이블 넘침 없음</x:v>
      </x:c>
      <x:c r="I95" s="81" t="str">
        <x:v>PASS</x:v>
      </x:c>
      <x:c r="J95" s="81" t="str">
        <x:v>성공</x:v>
      </x:c>
      <x:c r="K95" s="81" t="str">
        <x:v>수정 없음</x:v>
      </x:c>
      <x:c r="L95" s="73" t="str"/>
      <x:c r="M95" s="73" t="str"/>
      <x:c r="N95" s="73" t="str"/>
      <x:c r="O95" s="73" t="str">
        <x:v>기대 결과와 일치</x:v>
      </x:c>
      <x:c r="P95" s="73" t="str">
        <x:v>outputs/full-plan-20260719/102-functional-frontdesk.json</x:v>
      </x:c>
    </x:row>
    <x:row r="96">
      <x:c r="A96" s="80" t="n">
        <x:v>92</x:v>
      </x:c>
      <x:c r="B96" s="81" t="str">
        <x:v>RES-LIST-012</x:v>
      </x:c>
      <x:c r="C96" s="73" t="str">
        <x:v>7.5 예약 목록 및 체크인 호환 화면</x:v>
      </x:c>
      <x:c r="D96" s="81" t="str">
        <x:v>P1</x:v>
      </x:c>
      <x:c r="E96" s="73" t="str">
        <x:v>reservation-list</x:v>
      </x:c>
      <x:c r="F96" s="73" t="str">
        <x:v>dashboard/frontdesk/reservation-list.html</x:v>
      </x:c>
      <x:c r="G96" s="73" t="str">
        <x:v>상세 팝업 다국어</x:v>
      </x:c>
      <x:c r="H96" s="73" t="str">
        <x:v>고객 상세, 요금/예치, 시간 select까지 단일 언어</x:v>
      </x:c>
      <x:c r="I96" s="81" t="str">
        <x:v>PASS</x:v>
      </x:c>
      <x:c r="J96" s="81" t="str">
        <x:v>성공</x:v>
      </x:c>
      <x:c r="K96" s="81" t="str">
        <x:v>수정 없음</x:v>
      </x:c>
      <x:c r="L96" s="73" t="str"/>
      <x:c r="M96" s="73" t="str"/>
      <x:c r="N96" s="73" t="str"/>
      <x:c r="O96" s="73" t="str">
        <x:v>기대 결과와 일치</x:v>
      </x:c>
      <x:c r="P96" s="73" t="str">
        <x:v>outputs/full-plan-20260719/102-functional-frontdesk.json</x:v>
      </x:c>
    </x:row>
    <x:row r="97">
      <x:c r="A97" s="80" t="n">
        <x:v>93</x:v>
      </x:c>
      <x:c r="B97" s="81" t="str">
        <x:v>CHECKIN-001</x:v>
      </x:c>
      <x:c r="C97" s="73" t="str">
        <x:v>7.5 예약 목록 및 체크인 호환 화면</x:v>
      </x:c>
      <x:c r="D97" s="81" t="str">
        <x:v>P0</x:v>
      </x:c>
      <x:c r="E97" s="73" t="str">
        <x:v>checkin</x:v>
      </x:c>
      <x:c r="F97" s="73" t="str">
        <x:v>dashboard/frontdesk/checkin.html</x:v>
      </x:c>
      <x:c r="G97" s="73" t="str">
        <x:v>예약 검색 후 체크인</x:v>
      </x:c>
      <x:c r="H97" s="73" t="str">
        <x:v>예약 현황과 동일 체크인 결과</x:v>
      </x:c>
      <x:c r="I97" s="81" t="str">
        <x:v>PASS</x:v>
      </x:c>
      <x:c r="J97" s="81" t="str">
        <x:v>성공</x:v>
      </x:c>
      <x:c r="K97" s="81" t="str">
        <x:v>수정 없음</x:v>
      </x:c>
      <x:c r="L97" s="73" t="str"/>
      <x:c r="M97" s="73" t="str"/>
      <x:c r="N97" s="73" t="str"/>
      <x:c r="O97" s="73" t="str">
        <x:v>기대 결과와 일치</x:v>
      </x:c>
      <x:c r="P97" s="73" t="str">
        <x:v>15-e2e-business-flows.log</x:v>
      </x:c>
    </x:row>
    <x:row r="98">
      <x:c r="A98" s="80" t="n">
        <x:v>94</x:v>
      </x:c>
      <x:c r="B98" s="81" t="str">
        <x:v>CHECKIN-002</x:v>
      </x:c>
      <x:c r="C98" s="73" t="str">
        <x:v>7.5 예약 목록 및 체크인 호환 화면</x:v>
      </x:c>
      <x:c r="D98" s="81" t="str">
        <x:v>P0</x:v>
      </x:c>
      <x:c r="E98" s="73" t="str">
        <x:v>checkin</x:v>
      </x:c>
      <x:c r="F98" s="73" t="str">
        <x:v>dashboard/frontdesk/checkin.html</x:v>
      </x:c>
      <x:c r="G98" s="73" t="str">
        <x:v>체크아웃 대상 처리</x:v>
      </x:c>
      <x:c r="H98" s="73" t="str">
        <x:v>정산/청소 상태와 연결</x:v>
      </x:c>
      <x:c r="I98" s="81" t="str">
        <x:v>PASS</x:v>
      </x:c>
      <x:c r="J98" s="81" t="str">
        <x:v>성공</x:v>
      </x:c>
      <x:c r="K98" s="81" t="str">
        <x:v>수정 없음</x:v>
      </x:c>
      <x:c r="L98" s="73" t="str"/>
      <x:c r="M98" s="73" t="str"/>
      <x:c r="N98" s="73" t="str"/>
      <x:c r="O98" s="73" t="str">
        <x:v>기대 결과와 일치</x:v>
      </x:c>
      <x:c r="P98" s="73" t="str">
        <x:v>15-e2e-business-flows.log</x:v>
      </x:c>
    </x:row>
    <x:row r="99">
      <x:c r="A99" s="80" t="n">
        <x:v>95</x:v>
      </x:c>
      <x:c r="B99" s="81" t="str">
        <x:v>CHECKIN-003</x:v>
      </x:c>
      <x:c r="C99" s="73" t="str">
        <x:v>7.5 예약 목록 및 체크인 호환 화면</x:v>
      </x:c>
      <x:c r="D99" s="81" t="str">
        <x:v>P0</x:v>
      </x:c>
      <x:c r="E99" s="73" t="str">
        <x:v>checkin</x:v>
      </x:c>
      <x:c r="F99" s="73" t="str">
        <x:v>dashboard/frontdesk/checkin.html</x:v>
      </x:c>
      <x:c r="G99" s="73" t="str">
        <x:v>잘못된 객실 상태</x:v>
      </x:c>
      <x:c r="H99" s="73" t="str">
        <x:v>점검 객실만 차단하고 정상 객실은 허용</x:v>
      </x:c>
      <x:c r="I99" s="81" t="str">
        <x:v>PASS</x:v>
      </x:c>
      <x:c r="J99" s="81" t="str">
        <x:v>성공</x:v>
      </x:c>
      <x:c r="K99" s="81" t="str">
        <x:v>수정 없음</x:v>
      </x:c>
      <x:c r="L99" s="73" t="str"/>
      <x:c r="M99" s="73" t="str"/>
      <x:c r="N99" s="73" t="str"/>
      <x:c r="O99" s="73" t="str">
        <x:v>기대 결과와 일치</x:v>
      </x:c>
      <x:c r="P99" s="73" t="str">
        <x:v>10-reservation-regression.log</x:v>
      </x:c>
    </x:row>
    <x:row r="100">
      <x:c r="A100" s="80" t="n">
        <x:v>96</x:v>
      </x:c>
      <x:c r="B100" s="81" t="str">
        <x:v>CHECKIN-004</x:v>
      </x:c>
      <x:c r="C100" s="73" t="str">
        <x:v>7.5 예약 목록 및 체크인 호환 화면</x:v>
      </x:c>
      <x:c r="D100" s="81" t="str">
        <x:v>P1</x:v>
      </x:c>
      <x:c r="E100" s="73" t="str">
        <x:v>checkin</x:v>
      </x:c>
      <x:c r="F100" s="73" t="str">
        <x:v>dashboard/frontdesk/checkin.html</x:v>
      </x:c>
      <x:c r="G100" s="73" t="str">
        <x:v>고객/동반객 수정</x:v>
      </x:c>
      <x:c r="H100" s="73" t="str">
        <x:v>예약 고객 명단과 CRM에 반영</x:v>
      </x:c>
      <x:c r="I100" s="81" t="str">
        <x:v>PASS</x:v>
      </x:c>
      <x:c r="J100" s="81" t="str">
        <x:v>성공</x:v>
      </x:c>
      <x:c r="K100" s="81" t="str">
        <x:v>수정 없음</x:v>
      </x:c>
      <x:c r="L100" s="73" t="str"/>
      <x:c r="M100" s="73" t="str"/>
      <x:c r="N100" s="73" t="str"/>
      <x:c r="O100" s="73" t="str">
        <x:v>기대 결과와 일치</x:v>
      </x:c>
      <x:c r="P100" s="73" t="str">
        <x:v>02-smoke-interactions.log, 03-smoke-inputs-ko.log, 04-smoke-inputs-en.log, 14-storage-writes.log</x:v>
      </x:c>
    </x:row>
    <x:row r="101">
      <x:c r="A101" s="80" t="n">
        <x:v>97</x:v>
      </x:c>
      <x:c r="B101" s="81" t="str">
        <x:v>CHECKIN-005</x:v>
      </x:c>
      <x:c r="C101" s="73" t="str">
        <x:v>7.5 예약 목록 및 체크인 호환 화면</x:v>
      </x:c>
      <x:c r="D101" s="81" t="str">
        <x:v>P1</x:v>
      </x:c>
      <x:c r="E101" s="73" t="str">
        <x:v>checkin</x:v>
      </x:c>
      <x:c r="F101" s="73" t="str">
        <x:v>dashboard/frontdesk/checkin.html</x:v>
      </x:c>
      <x:c r="G101" s="73" t="str">
        <x:v>중복 체크인/체크아웃</x:v>
      </x:c>
      <x:c r="H101" s="73" t="str">
        <x:v>재실행 차단 및 명확한 현재 상태 안내</x:v>
      </x:c>
      <x:c r="I101" s="81" t="str">
        <x:v>PASS</x:v>
      </x:c>
      <x:c r="J101" s="81" t="str">
        <x:v>성공</x:v>
      </x:c>
      <x:c r="K101" s="81" t="str">
        <x:v>수정 없음</x:v>
      </x:c>
      <x:c r="L101" s="73" t="str"/>
      <x:c r="M101" s="73" t="str"/>
      <x:c r="N101" s="73" t="str"/>
      <x:c r="O101" s="73" t="str">
        <x:v>기대 결과와 일치</x:v>
      </x:c>
      <x:c r="P101" s="73" t="str">
        <x:v>02-smoke-interactions.log, 03-smoke-inputs-ko.log, 04-smoke-inputs-en.log, 14-storage-writes.log</x:v>
      </x:c>
    </x:row>
    <x:row r="102">
      <x:c r="A102" s="80" t="n">
        <x:v>98</x:v>
      </x:c>
      <x:c r="B102" s="81" t="str">
        <x:v>GRP-LIST-001</x:v>
      </x:c>
      <x:c r="C102" s="73" t="str">
        <x:v>7.6 단체/행사 목록</x:v>
      </x:c>
      <x:c r="D102" s="81" t="str">
        <x:v>P0</x:v>
      </x:c>
      <x:c r="E102" s="73" t="str"/>
      <x:c r="F102" s="73" t="str">
        <x:v>dashboard/frontdesk/groups_blocks.html</x:v>
      </x:c>
      <x:c r="G102" s="73" t="str">
        <x:v>전체/예정/진행/완료/취소 필터</x:v>
      </x:c>
      <x:c r="H102" s="73" t="str">
        <x:v>상태별 행사와 카운트 정확</x:v>
      </x:c>
      <x:c r="I102" s="81" t="str">
        <x:v>PASS</x:v>
      </x:c>
      <x:c r="J102" s="81" t="str">
        <x:v>성공</x:v>
      </x:c>
      <x:c r="K102" s="81" t="str">
        <x:v>수정 없음</x:v>
      </x:c>
      <x:c r="L102" s="73" t="str"/>
      <x:c r="M102" s="73" t="str"/>
      <x:c r="N102" s="73" t="str"/>
      <x:c r="O102" s="73" t="str">
        <x:v>기대 결과와 일치</x:v>
      </x:c>
      <x:c r="P102" s="73" t="str">
        <x:v>outputs/full-plan-20260719/103-functional-groups-rooms.json</x:v>
      </x:c>
    </x:row>
    <x:row r="103">
      <x:c r="A103" s="80" t="n">
        <x:v>99</x:v>
      </x:c>
      <x:c r="B103" s="81" t="str">
        <x:v>GRP-LIST-002</x:v>
      </x:c>
      <x:c r="C103" s="73" t="str">
        <x:v>7.6 단체/행사 목록</x:v>
      </x:c>
      <x:c r="D103" s="81" t="str">
        <x:v>P0</x:v>
      </x:c>
      <x:c r="E103" s="73" t="str"/>
      <x:c r="F103" s="73" t="str">
        <x:v>dashboard/frontdesk/groups_blocks.html</x:v>
      </x:c>
      <x:c r="G103" s="73" t="str">
        <x:v>단체 행사 신규 등록</x:v>
      </x:c>
      <x:c r="H103" s="73" t="str">
        <x:v>단체 선택, 기간, 인원, 할인, 결제 조건 저장</x:v>
      </x:c>
      <x:c r="I103" s="81" t="str">
        <x:v>PASS</x:v>
      </x:c>
      <x:c r="J103" s="81" t="str">
        <x:v>성공</x:v>
      </x:c>
      <x:c r="K103" s="81" t="str">
        <x:v>수정 없음</x:v>
      </x:c>
      <x:c r="L103" s="73" t="str"/>
      <x:c r="M103" s="73" t="str"/>
      <x:c r="N103" s="73" t="str"/>
      <x:c r="O103" s="73" t="str">
        <x:v>기대 결과와 일치</x:v>
      </x:c>
      <x:c r="P103" s="73" t="str">
        <x:v>outputs/full-plan-20260719/103-functional-groups-rooms.json</x:v>
      </x:c>
    </x:row>
    <x:row r="104">
      <x:c r="A104" s="80" t="n">
        <x:v>100</x:v>
      </x:c>
      <x:c r="B104" s="81" t="str">
        <x:v>GRP-LIST-003</x:v>
      </x:c>
      <x:c r="C104" s="73" t="str">
        <x:v>7.6 단체/행사 목록</x:v>
      </x:c>
      <x:c r="D104" s="81" t="str">
        <x:v>P0</x:v>
      </x:c>
      <x:c r="E104" s="73" t="str"/>
      <x:c r="F104" s="73" t="str">
        <x:v>dashboard/frontdesk/groups_blocks.html</x:v>
      </x:c>
      <x:c r="G104" s="73" t="str">
        <x:v>필수값 누락/기간 역전</x:v>
      </x:c>
      <x:c r="H104" s="73" t="str">
        <x:v>저장 차단 및 필드 오류 표시</x:v>
      </x:c>
      <x:c r="I104" s="81" t="str">
        <x:v>PASS</x:v>
      </x:c>
      <x:c r="J104" s="81" t="str">
        <x:v>성공</x:v>
      </x:c>
      <x:c r="K104" s="81" t="str">
        <x:v>수정 없음</x:v>
      </x:c>
      <x:c r="L104" s="73" t="str"/>
      <x:c r="M104" s="73" t="str"/>
      <x:c r="N104" s="73" t="str"/>
      <x:c r="O104" s="73" t="str">
        <x:v>기대 결과와 일치</x:v>
      </x:c>
      <x:c r="P104" s="73" t="str">
        <x:v>outputs/full-plan-20260719/103-functional-groups-rooms.json</x:v>
      </x:c>
    </x:row>
    <x:row r="105">
      <x:c r="A105" s="80" t="n">
        <x:v>101</x:v>
      </x:c>
      <x:c r="B105" s="81" t="str">
        <x:v>GRP-LIST-004</x:v>
      </x:c>
      <x:c r="C105" s="73" t="str">
        <x:v>7.6 단체/행사 목록</x:v>
      </x:c>
      <x:c r="D105" s="81" t="str">
        <x:v>P0</x:v>
      </x:c>
      <x:c r="E105" s="73" t="str"/>
      <x:c r="F105" s="73" t="str">
        <x:v>dashboard/frontdesk/groups_blocks.html</x:v>
      </x:c>
      <x:c r="G105" s="73" t="str">
        <x:v>행사 수정</x:v>
      </x:c>
      <x:c r="H105" s="73" t="str">
        <x:v>입력한 행사명 같은 사용자 데이터는 번역하지 않고 그대로 유지</x:v>
      </x:c>
      <x:c r="I105" s="81" t="str">
        <x:v>PASS</x:v>
      </x:c>
      <x:c r="J105" s="81" t="str">
        <x:v>성공</x:v>
      </x:c>
      <x:c r="K105" s="81" t="str">
        <x:v>수정 없음</x:v>
      </x:c>
      <x:c r="L105" s="73" t="str"/>
      <x:c r="M105" s="73" t="str"/>
      <x:c r="N105" s="73" t="str"/>
      <x:c r="O105" s="73" t="str">
        <x:v>기대 결과와 일치</x:v>
      </x:c>
      <x:c r="P105" s="73" t="str">
        <x:v>outputs/full-plan-20260719/103-functional-groups-rooms.json</x:v>
      </x:c>
    </x:row>
    <x:row r="106">
      <x:c r="A106" s="80" t="n">
        <x:v>102</x:v>
      </x:c>
      <x:c r="B106" s="81" t="str">
        <x:v>GRP-LIST-005</x:v>
      </x:c>
      <x:c r="C106" s="73" t="str">
        <x:v>7.6 단체/행사 목록</x:v>
      </x:c>
      <x:c r="D106" s="81" t="str">
        <x:v>P0</x:v>
      </x:c>
      <x:c r="E106" s="73" t="str"/>
      <x:c r="F106" s="73" t="str">
        <x:v>dashboard/frontdesk/groups_blocks.html</x:v>
      </x:c>
      <x:c r="G106" s="73" t="str">
        <x:v>행사 취소/재개</x:v>
      </x:c>
      <x:c r="H106" s="73" t="str">
        <x:v>상태, 객실 재고, 예약, 정산 영향이 정책대로 반영</x:v>
      </x:c>
      <x:c r="I106" s="81" t="str">
        <x:v>PASS</x:v>
      </x:c>
      <x:c r="J106" s="81" t="str">
        <x:v>성공</x:v>
      </x:c>
      <x:c r="K106" s="81" t="str">
        <x:v>수정 없음</x:v>
      </x:c>
      <x:c r="L106" s="73" t="str"/>
      <x:c r="M106" s="73" t="str"/>
      <x:c r="N106" s="73" t="str"/>
      <x:c r="O106" s="73" t="str">
        <x:v>기대 결과와 일치</x:v>
      </x:c>
      <x:c r="P106" s="73" t="str">
        <x:v>outputs/full-plan-20260719/103-functional-groups-rooms.json</x:v>
      </x:c>
    </x:row>
    <x:row r="107">
      <x:c r="A107" s="80" t="n">
        <x:v>103</x:v>
      </x:c>
      <x:c r="B107" s="81" t="str">
        <x:v>GRP-LIST-006</x:v>
      </x:c>
      <x:c r="C107" s="73" t="str">
        <x:v>7.6 단체/행사 목록</x:v>
      </x:c>
      <x:c r="D107" s="81" t="str">
        <x:v>P0</x:v>
      </x:c>
      <x:c r="E107" s="73" t="str"/>
      <x:c r="F107" s="73" t="str">
        <x:v>dashboard/frontdesk/groups_blocks.html</x:v>
      </x:c>
      <x:c r="G107" s="73" t="str">
        <x:v>행사 상세 진입</x:v>
      </x:c>
      <x:c r="H107" s="73" t="str">
        <x:v>선택한 행사 ID와 상세 데이터 일치</x:v>
      </x:c>
      <x:c r="I107" s="81" t="str">
        <x:v>PASS</x:v>
      </x:c>
      <x:c r="J107" s="81" t="str">
        <x:v>성공</x:v>
      </x:c>
      <x:c r="K107" s="81" t="str">
        <x:v>수정 없음</x:v>
      </x:c>
      <x:c r="L107" s="73" t="str"/>
      <x:c r="M107" s="73" t="str"/>
      <x:c r="N107" s="73" t="str"/>
      <x:c r="O107" s="73" t="str">
        <x:v>기대 결과와 일치</x:v>
      </x:c>
      <x:c r="P107" s="73" t="str">
        <x:v>outputs/full-plan-20260719/103-functional-groups-rooms.json</x:v>
      </x:c>
    </x:row>
    <x:row r="108">
      <x:c r="A108" s="80" t="n">
        <x:v>104</x:v>
      </x:c>
      <x:c r="B108" s="81" t="str">
        <x:v>GRP-LIST-007</x:v>
      </x:c>
      <x:c r="C108" s="73" t="str">
        <x:v>7.6 단체/행사 목록</x:v>
      </x:c>
      <x:c r="D108" s="81" t="str">
        <x:v>P1</x:v>
      </x:c>
      <x:c r="E108" s="73" t="str"/>
      <x:c r="F108" s="73" t="str">
        <x:v>dashboard/frontdesk/groups_blocks.html</x:v>
      </x:c>
      <x:c r="G108" s="73" t="str">
        <x:v>검색/기간/단체 필터</x:v>
      </x:c>
      <x:c r="H108" s="73" t="str">
        <x:v>조건 교집합만 표시</x:v>
      </x:c>
      <x:c r="I108" s="81" t="str">
        <x:v>PASS</x:v>
      </x:c>
      <x:c r="J108" s="81" t="str">
        <x:v>성공</x:v>
      </x:c>
      <x:c r="K108" s="81" t="str">
        <x:v>수정 없음</x:v>
      </x:c>
      <x:c r="L108" s="73" t="str"/>
      <x:c r="M108" s="73" t="str"/>
      <x:c r="N108" s="73" t="str"/>
      <x:c r="O108" s="73" t="str">
        <x:v>기대 결과와 일치</x:v>
      </x:c>
      <x:c r="P108" s="73" t="str">
        <x:v>outputs/full-plan-20260719/103-functional-groups-rooms.json</x:v>
      </x:c>
    </x:row>
    <x:row r="109">
      <x:c r="A109" s="80" t="n">
        <x:v>105</x:v>
      </x:c>
      <x:c r="B109" s="81" t="str">
        <x:v>GRP-LIST-008</x:v>
      </x:c>
      <x:c r="C109" s="73" t="str">
        <x:v>7.6 단체/행사 목록</x:v>
      </x:c>
      <x:c r="D109" s="81" t="str">
        <x:v>P1</x:v>
      </x:c>
      <x:c r="E109" s="73" t="str"/>
      <x:c r="F109" s="73" t="str">
        <x:v>dashboard/frontdesk/groups_blocks.html</x:v>
      </x:c>
      <x:c r="G109" s="73" t="str">
        <x:v>목록/카드 보기 전환</x:v>
      </x:c>
      <x:c r="H109" s="73" t="str">
        <x:v>동일 데이터와 선택 상태 유지</x:v>
      </x:c>
      <x:c r="I109" s="81" t="str">
        <x:v>PASS</x:v>
      </x:c>
      <x:c r="J109" s="81" t="str">
        <x:v>성공</x:v>
      </x:c>
      <x:c r="K109" s="81" t="str">
        <x:v>수정 없음</x:v>
      </x:c>
      <x:c r="L109" s="73" t="str"/>
      <x:c r="M109" s="73" t="str"/>
      <x:c r="N109" s="73" t="str"/>
      <x:c r="O109" s="73" t="str">
        <x:v>기대 결과와 일치</x:v>
      </x:c>
      <x:c r="P109" s="73" t="str">
        <x:v>outputs/full-plan-20260719/103-functional-groups-rooms.json</x:v>
      </x:c>
    </x:row>
    <x:row r="110">
      <x:c r="A110" s="80" t="n">
        <x:v>106</x:v>
      </x:c>
      <x:c r="B110" s="81" t="str">
        <x:v>GRP-LIST-009</x:v>
      </x:c>
      <x:c r="C110" s="73" t="str">
        <x:v>7.6 단체/행사 목록</x:v>
      </x:c>
      <x:c r="D110" s="81" t="str">
        <x:v>P1</x:v>
      </x:c>
      <x:c r="E110" s="73" t="str"/>
      <x:c r="F110" s="73" t="str">
        <x:v>dashboard/frontdesk/groups_blocks.html</x:v>
      </x:c>
      <x:c r="G110" s="73" t="str">
        <x:v>완료 행사 표시</x:v>
      </x:c>
      <x:c r="H110" s="73" t="str">
        <x:v>과거 행사가 진행 중으로 표시되지 않음</x:v>
      </x:c>
      <x:c r="I110" s="81" t="str">
        <x:v>PASS</x:v>
      </x:c>
      <x:c r="J110" s="81" t="str">
        <x:v>성공</x:v>
      </x:c>
      <x:c r="K110" s="81" t="str">
        <x:v>수정 없음</x:v>
      </x:c>
      <x:c r="L110" s="73" t="str"/>
      <x:c r="M110" s="73" t="str"/>
      <x:c r="N110" s="73" t="str"/>
      <x:c r="O110" s="73" t="str">
        <x:v>기대 결과와 일치</x:v>
      </x:c>
      <x:c r="P110" s="73" t="str">
        <x:v>outputs/full-plan-20260719/103-functional-groups-rooms.json</x:v>
      </x:c>
    </x:row>
    <x:row r="111">
      <x:c r="A111" s="80" t="n">
        <x:v>107</x:v>
      </x:c>
      <x:c r="B111" s="81" t="str">
        <x:v>GRP-LIST-010</x:v>
      </x:c>
      <x:c r="C111" s="73" t="str">
        <x:v>7.6 단체/행사 목록</x:v>
      </x:c>
      <x:c r="D111" s="81" t="str">
        <x:v>P1</x:v>
      </x:c>
      <x:c r="E111" s="73" t="str"/>
      <x:c r="F111" s="73" t="str">
        <x:v>dashboard/frontdesk/groups_blocks.html</x:v>
      </x:c>
      <x:c r="G111" s="73" t="str">
        <x:v>모바일 상세 진입</x:v>
      </x:c>
      <x:c r="H111" s="73" t="str">
        <x:v>카드/행 전체 및 명시 버튼 모두 안정적으로 동작</x:v>
      </x:c>
      <x:c r="I111" s="81" t="str">
        <x:v>PASS</x:v>
      </x:c>
      <x:c r="J111" s="81" t="str">
        <x:v>성공</x:v>
      </x:c>
      <x:c r="K111" s="81" t="str">
        <x:v>수정 없음</x:v>
      </x:c>
      <x:c r="L111" s="73" t="str"/>
      <x:c r="M111" s="73" t="str"/>
      <x:c r="N111" s="73" t="str"/>
      <x:c r="O111" s="73" t="str">
        <x:v>기대 결과와 일치</x:v>
      </x:c>
      <x:c r="P111" s="73" t="str">
        <x:v>outputs/full-plan-20260719/103-functional-groups-rooms.json</x:v>
      </x:c>
    </x:row>
    <x:row r="112">
      <x:c r="A112" s="80" t="n">
        <x:v>108</x:v>
      </x:c>
      <x:c r="B112" s="81" t="str">
        <x:v>GRP-LIST-011</x:v>
      </x:c>
      <x:c r="C112" s="73" t="str">
        <x:v>7.6 단체/행사 목록</x:v>
      </x:c>
      <x:c r="D112" s="81" t="str">
        <x:v>P1</x:v>
      </x:c>
      <x:c r="E112" s="73" t="str"/>
      <x:c r="F112" s="73" t="str">
        <x:v>dashboard/frontdesk/groups_blocks.html</x:v>
      </x:c>
      <x:c r="G112" s="73" t="str">
        <x:v>엑셀 다운로드</x:v>
      </x:c>
      <x:c r="H112" s="73" t="str">
        <x:v>현재 기간/필터 기준 행사 데이터 생성</x:v>
      </x:c>
      <x:c r="I112" s="81" t="str">
        <x:v>PASS</x:v>
      </x:c>
      <x:c r="J112" s="81" t="str">
        <x:v>성공</x:v>
      </x:c>
      <x:c r="K112" s="81" t="str">
        <x:v>수정 없음</x:v>
      </x:c>
      <x:c r="L112" s="73" t="str"/>
      <x:c r="M112" s="73" t="str"/>
      <x:c r="N112" s="73" t="str"/>
      <x:c r="O112" s="73" t="str">
        <x:v>기대 결과와 일치</x:v>
      </x:c>
      <x:c r="P112" s="73" t="str">
        <x:v>outputs/full-plan-20260719/103-functional-groups-rooms.json</x:v>
      </x:c>
    </x:row>
    <x:row r="113">
      <x:c r="A113" s="80" t="n">
        <x:v>109</x:v>
      </x:c>
      <x:c r="B113" s="81" t="str">
        <x:v>GRP-LIST-012</x:v>
      </x:c>
      <x:c r="C113" s="73" t="str">
        <x:v>7.6 단체/행사 목록</x:v>
      </x:c>
      <x:c r="D113" s="81" t="str">
        <x:v>P1</x:v>
      </x:c>
      <x:c r="E113" s="73" t="str"/>
      <x:c r="F113" s="73" t="str">
        <x:v>dashboard/frontdesk/groups_blocks.html</x:v>
      </x:c>
      <x:c r="G113" s="73" t="str">
        <x:v>EN cold load</x:v>
      </x:c>
      <x:c r="H113" s="73" t="str">
        <x:v>select option, placeholder, modal이 모두 영어</x:v>
      </x:c>
      <x:c r="I113" s="81" t="str">
        <x:v>PASS</x:v>
      </x:c>
      <x:c r="J113" s="81" t="str">
        <x:v>성공</x:v>
      </x:c>
      <x:c r="K113" s="81" t="str">
        <x:v>수정 없음</x:v>
      </x:c>
      <x:c r="L113" s="73" t="str"/>
      <x:c r="M113" s="73" t="str"/>
      <x:c r="N113" s="73" t="str"/>
      <x:c r="O113" s="73" t="str">
        <x:v>기대 결과와 일치</x:v>
      </x:c>
      <x:c r="P113" s="73" t="str">
        <x:v>outputs/full-plan-20260719/103-functional-groups-rooms.json</x:v>
      </x:c>
    </x:row>
    <x:row r="114">
      <x:c r="A114" s="80" t="n">
        <x:v>110</x:v>
      </x:c>
      <x:c r="B114" s="81" t="str">
        <x:v>GRP-DETAIL-001</x:v>
      </x:c>
      <x:c r="C114" s="73" t="str">
        <x:v>7.7 단체 행사 상세</x:v>
      </x:c>
      <x:c r="D114" s="81" t="str">
        <x:v>P0</x:v>
      </x:c>
      <x:c r="E114" s="73" t="str"/>
      <x:c r="F114" s="73" t="str">
        <x:v>dashboard/frontdesk/groups_block_detail.html</x:v>
      </x:c>
      <x:c r="G114" s="73" t="str">
        <x:v>개요 탭 진입</x:v>
      </x:c>
      <x:c r="H114" s="73" t="str">
        <x:v>행사/단체/기간/인원/상태/정산 요약 일치</x:v>
      </x:c>
      <x:c r="I114" s="81" t="str">
        <x:v>PASS</x:v>
      </x:c>
      <x:c r="J114" s="81" t="str">
        <x:v>성공</x:v>
      </x:c>
      <x:c r="K114" s="81" t="str">
        <x:v>수정 없음</x:v>
      </x:c>
      <x:c r="L114" s="73" t="str"/>
      <x:c r="M114" s="73" t="str"/>
      <x:c r="N114" s="73" t="str"/>
      <x:c r="O114" s="73" t="str">
        <x:v>기대 결과와 일치</x:v>
      </x:c>
      <x:c r="P114" s="73" t="str">
        <x:v>outputs/full-plan-20260719/103-functional-groups-rooms.json</x:v>
      </x:c>
    </x:row>
    <x:row r="115">
      <x:c r="A115" s="80" t="n">
        <x:v>111</x:v>
      </x:c>
      <x:c r="B115" s="81" t="str">
        <x:v>GRP-DETAIL-002</x:v>
      </x:c>
      <x:c r="C115" s="73" t="str">
        <x:v>7.7 단체 행사 상세</x:v>
      </x:c>
      <x:c r="D115" s="81" t="str">
        <x:v>P0</x:v>
      </x:c>
      <x:c r="E115" s="73" t="str"/>
      <x:c r="F115" s="73" t="str">
        <x:v>dashboard/frontdesk/groups_block_detail.html</x:v>
      </x:c>
      <x:c r="G115" s="73" t="str">
        <x:v>행사 기본정보 수정</x:v>
      </x:c>
      <x:c r="H115" s="73" t="str">
        <x:v>저장 후 목록과 상세에 즉시 반영</x:v>
      </x:c>
      <x:c r="I115" s="81" t="str">
        <x:v>PASS</x:v>
      </x:c>
      <x:c r="J115" s="81" t="str">
        <x:v>성공</x:v>
      </x:c>
      <x:c r="K115" s="81" t="str">
        <x:v>수정 없음</x:v>
      </x:c>
      <x:c r="L115" s="73" t="str"/>
      <x:c r="M115" s="73" t="str"/>
      <x:c r="N115" s="73" t="str"/>
      <x:c r="O115" s="73" t="str">
        <x:v>기대 결과와 일치</x:v>
      </x:c>
      <x:c r="P115" s="73" t="str">
        <x:v>outputs/full-plan-20260719/103-functional-groups-rooms.json</x:v>
      </x:c>
    </x:row>
    <x:row r="116">
      <x:c r="A116" s="80" t="n">
        <x:v>112</x:v>
      </x:c>
      <x:c r="B116" s="81" t="str">
        <x:v>GRP-DETAIL-003</x:v>
      </x:c>
      <x:c r="C116" s="73" t="str">
        <x:v>7.7 단체 행사 상세</x:v>
      </x:c>
      <x:c r="D116" s="81" t="str">
        <x:v>P0</x:v>
      </x:c>
      <x:c r="E116" s="73" t="str"/>
      <x:c r="F116" s="73" t="str">
        <x:v>dashboard/frontdesk/groups_block_detail.html</x:v>
      </x:c>
      <x:c r="G116" s="73" t="str">
        <x:v>객실 행 추가</x:v>
      </x:c>
      <x:c r="H116" s="73" t="str">
        <x:v>선택 가능한 객실만 표시되고 중복 선택 차단</x:v>
      </x:c>
      <x:c r="I116" s="81" t="str">
        <x:v>PASS</x:v>
      </x:c>
      <x:c r="J116" s="81" t="str">
        <x:v>성공</x:v>
      </x:c>
      <x:c r="K116" s="81" t="str">
        <x:v>수정 없음</x:v>
      </x:c>
      <x:c r="L116" s="73" t="str"/>
      <x:c r="M116" s="73" t="str"/>
      <x:c r="N116" s="73" t="str"/>
      <x:c r="O116" s="73" t="str">
        <x:v>기대 결과와 일치</x:v>
      </x:c>
      <x:c r="P116" s="73" t="str">
        <x:v>outputs/full-plan-20260719/103-functional-groups-rooms.json</x:v>
      </x:c>
    </x:row>
    <x:row r="117">
      <x:c r="A117" s="80" t="n">
        <x:v>113</x:v>
      </x:c>
      <x:c r="B117" s="81" t="str">
        <x:v>GRP-DETAIL-004</x:v>
      </x:c>
      <x:c r="C117" s="73" t="str">
        <x:v>7.7 단체 행사 상세</x:v>
      </x:c>
      <x:c r="D117" s="81" t="str">
        <x:v>P0</x:v>
      </x:c>
      <x:c r="E117" s="73" t="str"/>
      <x:c r="F117" s="73" t="str">
        <x:v>dashboard/frontdesk/groups_block_detail.html</x:v>
      </x:c>
      <x:c r="G117" s="73" t="str">
        <x:v>객실 할인율/최종요금 계산</x:v>
      </x:c>
      <x:c r="H117" s="73" t="str">
        <x:v>기본요금, 할인율, 최종요금 계산 정확</x:v>
      </x:c>
      <x:c r="I117" s="81" t="str">
        <x:v>PASS</x:v>
      </x:c>
      <x:c r="J117" s="81" t="str">
        <x:v>성공</x:v>
      </x:c>
      <x:c r="K117" s="81" t="str">
        <x:v>수정 없음</x:v>
      </x:c>
      <x:c r="L117" s="73" t="str"/>
      <x:c r="M117" s="73" t="str"/>
      <x:c r="N117" s="73" t="str"/>
      <x:c r="O117" s="73" t="str">
        <x:v>기대 결과와 일치</x:v>
      </x:c>
      <x:c r="P117" s="73" t="str">
        <x:v>outputs/full-plan-20260719/103-functional-groups-rooms.json</x:v>
      </x:c>
    </x:row>
    <x:row r="118">
      <x:c r="A118" s="80" t="n">
        <x:v>114</x:v>
      </x:c>
      <x:c r="B118" s="81" t="str">
        <x:v>GRP-DETAIL-005</x:v>
      </x:c>
      <x:c r="C118" s="73" t="str">
        <x:v>7.7 단체 행사 상세</x:v>
      </x:c>
      <x:c r="D118" s="81" t="str">
        <x:v>P0</x:v>
      </x:c>
      <x:c r="E118" s="73" t="str"/>
      <x:c r="F118" s="73" t="str">
        <x:v>dashboard/frontdesk/groups_block_detail.html</x:v>
      </x:c>
      <x:c r="G118" s="73" t="str">
        <x:v>객실 배정 저장</x:v>
      </x:c>
      <x:c r="H118" s="73" t="str">
        <x:v>재진입 후 객실과 요금 유지, 예약 현황/타임라인 반영</x:v>
      </x:c>
      <x:c r="I118" s="81" t="str">
        <x:v>PASS</x:v>
      </x:c>
      <x:c r="J118" s="81" t="str">
        <x:v>성공</x:v>
      </x:c>
      <x:c r="K118" s="81" t="str">
        <x:v>수정 없음</x:v>
      </x:c>
      <x:c r="L118" s="73" t="str"/>
      <x:c r="M118" s="73" t="str"/>
      <x:c r="N118" s="73" t="str"/>
      <x:c r="O118" s="73" t="str">
        <x:v>기대 결과와 일치</x:v>
      </x:c>
      <x:c r="P118" s="73" t="str">
        <x:v>outputs/full-plan-20260719/103-functional-groups-rooms.json</x:v>
      </x:c>
    </x:row>
    <x:row r="119">
      <x:c r="A119" s="80" t="n">
        <x:v>115</x:v>
      </x:c>
      <x:c r="B119" s="81" t="str">
        <x:v>GRP-DETAIL-006</x:v>
      </x:c>
      <x:c r="C119" s="73" t="str">
        <x:v>7.7 단체 행사 상세</x:v>
      </x:c>
      <x:c r="D119" s="81" t="str">
        <x:v>P0</x:v>
      </x:c>
      <x:c r="E119" s="73" t="str"/>
      <x:c r="F119" s="73" t="str">
        <x:v>dashboard/frontdesk/groups_block_detail.html</x:v>
      </x:c>
      <x:c r="G119" s="73" t="str">
        <x:v>객실 배정 삭제</x:v>
      </x:c>
      <x:c r="H119" s="73" t="str">
        <x:v>연결 투숙객/정산 여부에 따른 차단 또는 안전한 해제</x:v>
      </x:c>
      <x:c r="I119" s="81" t="str">
        <x:v>PASS</x:v>
      </x:c>
      <x:c r="J119" s="81" t="str">
        <x:v>성공</x:v>
      </x:c>
      <x:c r="K119" s="81" t="str">
        <x:v>수정 없음</x:v>
      </x:c>
      <x:c r="L119" s="73" t="str"/>
      <x:c r="M119" s="73" t="str"/>
      <x:c r="N119" s="73" t="str"/>
      <x:c r="O119" s="73" t="str">
        <x:v>기대 결과와 일치</x:v>
      </x:c>
      <x:c r="P119" s="73" t="str">
        <x:v>outputs/full-plan-20260719/103-functional-groups-rooms.json</x:v>
      </x:c>
    </x:row>
    <x:row r="120">
      <x:c r="A120" s="80" t="n">
        <x:v>116</x:v>
      </x:c>
      <x:c r="B120" s="81" t="str">
        <x:v>GRP-DETAIL-007</x:v>
      </x:c>
      <x:c r="C120" s="73" t="str">
        <x:v>7.7 단체 행사 상세</x:v>
      </x:c>
      <x:c r="D120" s="81" t="str">
        <x:v>P0</x:v>
      </x:c>
      <x:c r="E120" s="73" t="str"/>
      <x:c r="F120" s="73" t="str">
        <x:v>dashboard/frontdesk/groups_block_detail.html</x:v>
      </x:c>
      <x:c r="G120" s="73" t="str">
        <x:v>대표 투숙객 등록</x:v>
      </x:c>
      <x:c r="H120" s="73" t="str">
        <x:v>선택 객실에 대표 1명만 설정되고 CRM/예약 연결</x:v>
      </x:c>
      <x:c r="I120" s="81" t="str">
        <x:v>PASS</x:v>
      </x:c>
      <x:c r="J120" s="81" t="str">
        <x:v>성공</x:v>
      </x:c>
      <x:c r="K120" s="81" t="str">
        <x:v>수정 없음</x:v>
      </x:c>
      <x:c r="L120" s="73" t="str"/>
      <x:c r="M120" s="73" t="str"/>
      <x:c r="N120" s="73" t="str"/>
      <x:c r="O120" s="73" t="str">
        <x:v>기대 결과와 일치</x:v>
      </x:c>
      <x:c r="P120" s="73" t="str">
        <x:v>outputs/full-plan-20260719/103-functional-groups-rooms.json</x:v>
      </x:c>
    </x:row>
    <x:row r="121">
      <x:c r="A121" s="80" t="n">
        <x:v>117</x:v>
      </x:c>
      <x:c r="B121" s="81" t="str">
        <x:v>GRP-DETAIL-008</x:v>
      </x:c>
      <x:c r="C121" s="73" t="str">
        <x:v>7.7 단체 행사 상세</x:v>
      </x:c>
      <x:c r="D121" s="81" t="str">
        <x:v>P0</x:v>
      </x:c>
      <x:c r="E121" s="73" t="str"/>
      <x:c r="F121" s="73" t="str">
        <x:v>dashboard/frontdesk/groups_block_detail.html</x:v>
      </x:c>
      <x:c r="G121" s="73" t="str">
        <x:v>동반 투숙객 등록</x:v>
      </x:c>
      <x:c r="H121" s="73" t="str">
        <x:v>인원수, 명단, 객실 연결 정확</x:v>
      </x:c>
      <x:c r="I121" s="81" t="str">
        <x:v>PASS</x:v>
      </x:c>
      <x:c r="J121" s="81" t="str">
        <x:v>성공</x:v>
      </x:c>
      <x:c r="K121" s="81" t="str">
        <x:v>수정 없음</x:v>
      </x:c>
      <x:c r="L121" s="73" t="str"/>
      <x:c r="M121" s="73" t="str"/>
      <x:c r="N121" s="73" t="str"/>
      <x:c r="O121" s="73" t="str">
        <x:v>기대 결과와 일치</x:v>
      </x:c>
      <x:c r="P121" s="73" t="str">
        <x:v>outputs/full-plan-20260719/103-functional-groups-rooms.json</x:v>
      </x:c>
    </x:row>
    <x:row r="122">
      <x:c r="A122" s="80" t="n">
        <x:v>118</x:v>
      </x:c>
      <x:c r="B122" s="81" t="str">
        <x:v>GRP-DETAIL-009</x:v>
      </x:c>
      <x:c r="C122" s="73" t="str">
        <x:v>7.7 단체 행사 상세</x:v>
      </x:c>
      <x:c r="D122" s="81" t="str">
        <x:v>P0</x:v>
      </x:c>
      <x:c r="E122" s="73" t="str"/>
      <x:c r="F122" s="73" t="str">
        <x:v>dashboard/frontdesk/groups_block_detail.html</x:v>
      </x:c>
      <x:c r="G122" s="73" t="str">
        <x:v>투숙객 수정/삭제</x:v>
      </x:c>
      <x:c r="H122" s="73" t="str">
        <x:v>명단/예약/CRM 동기화, 대표 삭제 제한</x:v>
      </x:c>
      <x:c r="I122" s="81" t="str">
        <x:v>PASS</x:v>
      </x:c>
      <x:c r="J122" s="81" t="str">
        <x:v>성공</x:v>
      </x:c>
      <x:c r="K122" s="81" t="str">
        <x:v>수정 없음</x:v>
      </x:c>
      <x:c r="L122" s="73" t="str"/>
      <x:c r="M122" s="73" t="str"/>
      <x:c r="N122" s="73" t="str"/>
      <x:c r="O122" s="73" t="str">
        <x:v>기대 결과와 일치</x:v>
      </x:c>
      <x:c r="P122" s="73" t="str">
        <x:v>outputs/full-plan-20260719/103-functional-groups-rooms.json</x:v>
      </x:c>
    </x:row>
    <x:row r="123">
      <x:c r="A123" s="80" t="n">
        <x:v>119</x:v>
      </x:c>
      <x:c r="B123" s="81" t="str">
        <x:v>GRP-DETAIL-010</x:v>
      </x:c>
      <x:c r="C123" s="73" t="str">
        <x:v>7.7 단체 행사 상세</x:v>
      </x:c>
      <x:c r="D123" s="81" t="str">
        <x:v>P0</x:v>
      </x:c>
      <x:c r="E123" s="73" t="str"/>
      <x:c r="F123" s="73" t="str">
        <x:v>dashboard/frontdesk/groups_block_detail.html</x:v>
      </x:c>
      <x:c r="G123" s="73" t="str">
        <x:v>투숙객 없는 객실</x:v>
      </x:c>
      <x:c r="H123" s="73" t="str">
        <x:v>부가서비스 및 금액 미노출/등록 차단</x:v>
      </x:c>
      <x:c r="I123" s="81" t="str">
        <x:v>PASS</x:v>
      </x:c>
      <x:c r="J123" s="81" t="str">
        <x:v>성공</x:v>
      </x:c>
      <x:c r="K123" s="81" t="str">
        <x:v>수정 없음</x:v>
      </x:c>
      <x:c r="L123" s="73" t="str"/>
      <x:c r="M123" s="73" t="str"/>
      <x:c r="N123" s="73" t="str"/>
      <x:c r="O123" s="73" t="str">
        <x:v>기대 결과와 일치</x:v>
      </x:c>
      <x:c r="P123" s="73" t="str">
        <x:v>outputs/full-plan-20260719/103-functional-groups-rooms.json</x:v>
      </x:c>
    </x:row>
    <x:row r="124">
      <x:c r="A124" s="80" t="n">
        <x:v>120</x:v>
      </x:c>
      <x:c r="B124" s="81" t="str">
        <x:v>GRP-DETAIL-011</x:v>
      </x:c>
      <x:c r="C124" s="73" t="str">
        <x:v>7.7 단체 행사 상세</x:v>
      </x:c>
      <x:c r="D124" s="81" t="str">
        <x:v>P0</x:v>
      </x:c>
      <x:c r="E124" s="73" t="str"/>
      <x:c r="F124" s="73" t="str">
        <x:v>dashboard/frontdesk/groups_block_detail.html</x:v>
      </x:c>
      <x:c r="G124" s="73" t="str">
        <x:v>단체 체크인</x:v>
      </x:c>
      <x:c r="H124" s="73" t="str">
        <x:v>배정된 투숙객 객실이 모두 투숙 중으로 전환</x:v>
      </x:c>
      <x:c r="I124" s="81" t="str">
        <x:v>PASS</x:v>
      </x:c>
      <x:c r="J124" s="81" t="str">
        <x:v>성공</x:v>
      </x:c>
      <x:c r="K124" s="81" t="str">
        <x:v>수정 없음</x:v>
      </x:c>
      <x:c r="L124" s="73" t="str"/>
      <x:c r="M124" s="73" t="str"/>
      <x:c r="N124" s="73" t="str"/>
      <x:c r="O124" s="73" t="str">
        <x:v>기대 결과와 일치</x:v>
      </x:c>
      <x:c r="P124" s="73" t="str">
        <x:v>outputs/full-plan-20260719/103-functional-groups-rooms.json</x:v>
      </x:c>
    </x:row>
    <x:row r="125">
      <x:c r="A125" s="80" t="n">
        <x:v>121</x:v>
      </x:c>
      <x:c r="B125" s="81" t="str">
        <x:v>GRP-DETAIL-012</x:v>
      </x:c>
      <x:c r="C125" s="73" t="str">
        <x:v>7.7 단체 행사 상세</x:v>
      </x:c>
      <x:c r="D125" s="81" t="str">
        <x:v>P0</x:v>
      </x:c>
      <x:c r="E125" s="73" t="str"/>
      <x:c r="F125" s="73" t="str">
        <x:v>dashboard/frontdesk/groups_block_detail.html</x:v>
      </x:c>
      <x:c r="G125" s="73" t="str">
        <x:v>일부 체크인 실패</x:v>
      </x:c>
      <x:c r="H125" s="73" t="str">
        <x:v>성공/실패 객실과 원인을 구분하고 중간 상태 손상 없음</x:v>
      </x:c>
      <x:c r="I125" s="81" t="str">
        <x:v>PASS</x:v>
      </x:c>
      <x:c r="J125" s="81" t="str">
        <x:v>성공</x:v>
      </x:c>
      <x:c r="K125" s="81" t="str">
        <x:v>수정 없음</x:v>
      </x:c>
      <x:c r="L125" s="73" t="str"/>
      <x:c r="M125" s="73" t="str"/>
      <x:c r="N125" s="73" t="str"/>
      <x:c r="O125" s="73" t="str">
        <x:v>기대 결과와 일치</x:v>
      </x:c>
      <x:c r="P125" s="73" t="str">
        <x:v>outputs/full-plan-20260719/103-functional-groups-rooms.json</x:v>
      </x:c>
    </x:row>
    <x:row r="126">
      <x:c r="A126" s="80" t="n">
        <x:v>122</x:v>
      </x:c>
      <x:c r="B126" s="81" t="str">
        <x:v>GRP-DETAIL-013</x:v>
      </x:c>
      <x:c r="C126" s="73" t="str">
        <x:v>7.7 단체 행사 상세</x:v>
      </x:c>
      <x:c r="D126" s="81" t="str">
        <x:v>P0</x:v>
      </x:c>
      <x:c r="E126" s="73" t="str"/>
      <x:c r="F126" s="73" t="str">
        <x:v>dashboard/frontdesk/groups_block_detail.html</x:v>
      </x:c>
      <x:c r="G126" s="73" t="str">
        <x:v>단체 체크아웃</x:v>
      </x:c>
      <x:c r="H126" s="73" t="str">
        <x:v>정산 조건 확인 후 객실 청소 상태 전환</x:v>
      </x:c>
      <x:c r="I126" s="81" t="str">
        <x:v>PASS</x:v>
      </x:c>
      <x:c r="J126" s="81" t="str">
        <x:v>성공</x:v>
      </x:c>
      <x:c r="K126" s="81" t="str">
        <x:v>수정 없음</x:v>
      </x:c>
      <x:c r="L126" s="73" t="str"/>
      <x:c r="M126" s="73" t="str"/>
      <x:c r="N126" s="73" t="str"/>
      <x:c r="O126" s="73" t="str">
        <x:v>기대 결과와 일치</x:v>
      </x:c>
      <x:c r="P126" s="73" t="str">
        <x:v>outputs/full-plan-20260719/103-functional-groups-rooms.json</x:v>
      </x:c>
    </x:row>
    <x:row r="127">
      <x:c r="A127" s="80" t="n">
        <x:v>123</x:v>
      </x:c>
      <x:c r="B127" s="81" t="str">
        <x:v>GRP-DETAIL-014</x:v>
      </x:c>
      <x:c r="C127" s="73" t="str">
        <x:v>7.7 단체 행사 상세</x:v>
      </x:c>
      <x:c r="D127" s="81" t="str">
        <x:v>P0</x:v>
      </x:c>
      <x:c r="E127" s="73" t="str"/>
      <x:c r="F127" s="73" t="str">
        <x:v>dashboard/frontdesk/groups_block_detail.html</x:v>
      </x:c>
      <x:c r="G127" s="73" t="str">
        <x:v>골프 부가서비스 다중 등록</x:v>
      </x:c>
      <x:c r="H127" s="73" t="str">
        <x:v>동일 업체/항목을 선택 객실/투숙객에 일괄 등록</x:v>
      </x:c>
      <x:c r="I127" s="81" t="str">
        <x:v>PASS</x:v>
      </x:c>
      <x:c r="J127" s="81" t="str">
        <x:v>성공</x:v>
      </x:c>
      <x:c r="K127" s="81" t="str">
        <x:v>수정 없음</x:v>
      </x:c>
      <x:c r="L127" s="73" t="str"/>
      <x:c r="M127" s="73" t="str"/>
      <x:c r="N127" s="73" t="str"/>
      <x:c r="O127" s="73" t="str">
        <x:v>기대 결과와 일치</x:v>
      </x:c>
      <x:c r="P127" s="73" t="str">
        <x:v>outputs/full-plan-20260719/103-functional-groups-rooms.json</x:v>
      </x:c>
    </x:row>
    <x:row r="128">
      <x:c r="A128" s="80" t="n">
        <x:v>124</x:v>
      </x:c>
      <x:c r="B128" s="81" t="str">
        <x:v>GRP-DETAIL-015</x:v>
      </x:c>
      <x:c r="C128" s="73" t="str">
        <x:v>7.7 단체 행사 상세</x:v>
      </x:c>
      <x:c r="D128" s="81" t="str">
        <x:v>P0</x:v>
      </x:c>
      <x:c r="E128" s="73" t="str"/>
      <x:c r="F128" s="73" t="str">
        <x:v>dashboard/frontdesk/groups_block_detail.html</x:v>
      </x:c>
      <x:c r="G128" s="73" t="str">
        <x:v>렌터카 부가서비스 다중 등록</x:v>
      </x:c>
      <x:c r="H128" s="73" t="str">
        <x:v>대상별 주문과 금액이 정확히 생성</x:v>
      </x:c>
      <x:c r="I128" s="81" t="str">
        <x:v>PASS</x:v>
      </x:c>
      <x:c r="J128" s="81" t="str">
        <x:v>성공</x:v>
      </x:c>
      <x:c r="K128" s="81" t="str">
        <x:v>수정 없음</x:v>
      </x:c>
      <x:c r="L128" s="73" t="str"/>
      <x:c r="M128" s="73" t="str"/>
      <x:c r="N128" s="73" t="str"/>
      <x:c r="O128" s="73" t="str">
        <x:v>기대 결과와 일치</x:v>
      </x:c>
      <x:c r="P128" s="73" t="str">
        <x:v>outputs/full-plan-20260719/103-functional-groups-rooms.json</x:v>
      </x:c>
    </x:row>
    <x:row r="129">
      <x:c r="A129" s="80" t="n">
        <x:v>125</x:v>
      </x:c>
      <x:c r="B129" s="81" t="str">
        <x:v>GRP-DETAIL-016</x:v>
      </x:c>
      <x:c r="C129" s="73" t="str">
        <x:v>7.7 단체 행사 상세</x:v>
      </x:c>
      <x:c r="D129" s="81" t="str">
        <x:v>P0</x:v>
      </x:c>
      <x:c r="E129" s="73" t="str"/>
      <x:c r="F129" s="73" t="str">
        <x:v>dashboard/frontdesk/groups_block_detail.html</x:v>
      </x:c>
      <x:c r="G129" s="73" t="str">
        <x:v>음식점/기타 일괄 등록</x:v>
      </x:c>
      <x:c r="H129" s="73" t="str">
        <x:v>카테고리/업체/메뉴/설명/금액 저장</x:v>
      </x:c>
      <x:c r="I129" s="81" t="str">
        <x:v>PASS</x:v>
      </x:c>
      <x:c r="J129" s="81" t="str">
        <x:v>성공</x:v>
      </x:c>
      <x:c r="K129" s="81" t="str">
        <x:v>수정 없음</x:v>
      </x:c>
      <x:c r="L129" s="73" t="str"/>
      <x:c r="M129" s="73" t="str"/>
      <x:c r="N129" s="73" t="str"/>
      <x:c r="O129" s="73" t="str">
        <x:v>기대 결과와 일치</x:v>
      </x:c>
      <x:c r="P129" s="73" t="str">
        <x:v>outputs/full-plan-20260719/103-functional-groups-rooms.json</x:v>
      </x:c>
    </x:row>
    <x:row r="130">
      <x:c r="A130" s="80" t="n">
        <x:v>126</x:v>
      </x:c>
      <x:c r="B130" s="81" t="str">
        <x:v>GRP-DETAIL-017</x:v>
      </x:c>
      <x:c r="C130" s="73" t="str">
        <x:v>7.7 단체 행사 상세</x:v>
      </x:c>
      <x:c r="D130" s="81" t="str">
        <x:v>P1</x:v>
      </x:c>
      <x:c r="E130" s="73" t="str"/>
      <x:c r="F130" s="73" t="str">
        <x:v>dashboard/frontdesk/groups_block_detail.html</x:v>
      </x:c>
      <x:c r="G130" s="73" t="str">
        <x:v>단체 바우처 출력</x:v>
      </x:c>
      <x:c r="H130" s="73" t="str">
        <x:v>투숙객/객실/업체별 출력 대상과 페이지 수 정확</x:v>
      </x:c>
      <x:c r="I130" s="81" t="str">
        <x:v>PASS</x:v>
      </x:c>
      <x:c r="J130" s="81" t="str">
        <x:v>성공</x:v>
      </x:c>
      <x:c r="K130" s="81" t="str">
        <x:v>수정 없음</x:v>
      </x:c>
      <x:c r="L130" s="73" t="str"/>
      <x:c r="M130" s="73" t="str"/>
      <x:c r="N130" s="73" t="str"/>
      <x:c r="O130" s="73" t="str">
        <x:v>기대 결과와 일치</x:v>
      </x:c>
      <x:c r="P130" s="73" t="str">
        <x:v>outputs/full-plan-20260719/103-functional-groups-rooms.json</x:v>
      </x:c>
    </x:row>
    <x:row r="131">
      <x:c r="A131" s="80" t="n">
        <x:v>127</x:v>
      </x:c>
      <x:c r="B131" s="81" t="str">
        <x:v>GRP-DETAIL-018</x:v>
      </x:c>
      <x:c r="C131" s="73" t="str">
        <x:v>7.7 단체 행사 상세</x:v>
      </x:c>
      <x:c r="D131" s="81" t="str">
        <x:v>P0</x:v>
      </x:c>
      <x:c r="E131" s="73" t="str"/>
      <x:c r="F131" s="73" t="str">
        <x:v>dashboard/frontdesk/groups_block_detail.html</x:v>
      </x:c>
      <x:c r="G131" s="73" t="str">
        <x:v>단체 정산 탭</x:v>
      </x:c>
      <x:c r="H131" s="73" t="str">
        <x:v>객실/부가서비스/결제/잔액 합계 일치</x:v>
      </x:c>
      <x:c r="I131" s="81" t="str">
        <x:v>PASS</x:v>
      </x:c>
      <x:c r="J131" s="81" t="str">
        <x:v>성공</x:v>
      </x:c>
      <x:c r="K131" s="81" t="str">
        <x:v>수정 없음</x:v>
      </x:c>
      <x:c r="L131" s="73" t="str"/>
      <x:c r="M131" s="73" t="str"/>
      <x:c r="N131" s="73" t="str"/>
      <x:c r="O131" s="73" t="str">
        <x:v>기대 결과와 일치</x:v>
      </x:c>
      <x:c r="P131" s="73" t="str">
        <x:v>outputs/full-plan-20260719/103-functional-groups-rooms.json</x:v>
      </x:c>
    </x:row>
    <x:row r="132">
      <x:c r="A132" s="80" t="n">
        <x:v>128</x:v>
      </x:c>
      <x:c r="B132" s="81" t="str">
        <x:v>GRP-DETAIL-019</x:v>
      </x:c>
      <x:c r="C132" s="73" t="str">
        <x:v>7.7 단체 행사 상세</x:v>
      </x:c>
      <x:c r="D132" s="81" t="str">
        <x:v>P0</x:v>
      </x:c>
      <x:c r="E132" s="73" t="str"/>
      <x:c r="F132" s="73" t="str">
        <x:v>dashboard/frontdesk/groups_block_detail.html</x:v>
      </x:c>
      <x:c r="G132" s="73" t="str">
        <x:v>수납 등록</x:v>
      </x:c>
      <x:c r="H132" s="73" t="str">
        <x:v>통화별 수납과 처리 이력 저장</x:v>
      </x:c>
      <x:c r="I132" s="81" t="str">
        <x:v>PASS</x:v>
      </x:c>
      <x:c r="J132" s="81" t="str">
        <x:v>성공</x:v>
      </x:c>
      <x:c r="K132" s="81" t="str">
        <x:v>수정 없음</x:v>
      </x:c>
      <x:c r="L132" s="73" t="str"/>
      <x:c r="M132" s="73" t="str"/>
      <x:c r="N132" s="73" t="str"/>
      <x:c r="O132" s="73" t="str">
        <x:v>기대 결과와 일치</x:v>
      </x:c>
      <x:c r="P132" s="73" t="str">
        <x:v>outputs/full-plan-20260719/103-functional-groups-rooms.json</x:v>
      </x:c>
    </x:row>
    <x:row r="133">
      <x:c r="A133" s="80" t="n">
        <x:v>129</x:v>
      </x:c>
      <x:c r="B133" s="81" t="str">
        <x:v>GRP-DETAIL-020</x:v>
      </x:c>
      <x:c r="C133" s="73" t="str">
        <x:v>7.7 단체 행사 상세</x:v>
      </x:c>
      <x:c r="D133" s="81" t="str">
        <x:v>P0</x:v>
      </x:c>
      <x:c r="E133" s="73" t="str"/>
      <x:c r="F133" s="73" t="str">
        <x:v>dashboard/frontdesk/groups_block_detail.html</x:v>
      </x:c>
      <x:c r="G133" s="73" t="str">
        <x:v>정산 완료</x:v>
      </x:c>
      <x:c r="H133" s="73" t="str">
        <x:v>완료 상태가 정산 현황/목록/단체 목록에 반영</x:v>
      </x:c>
      <x:c r="I133" s="81" t="str">
        <x:v>PASS</x:v>
      </x:c>
      <x:c r="J133" s="81" t="str">
        <x:v>성공</x:v>
      </x:c>
      <x:c r="K133" s="81" t="str">
        <x:v>수정 없음</x:v>
      </x:c>
      <x:c r="L133" s="73" t="str"/>
      <x:c r="M133" s="73" t="str"/>
      <x:c r="N133" s="73" t="str"/>
      <x:c r="O133" s="73" t="str">
        <x:v>기대 결과와 일치</x:v>
      </x:c>
      <x:c r="P133" s="73" t="str">
        <x:v>outputs/full-plan-20260719/103-functional-groups-rooms.json</x:v>
      </x:c>
    </x:row>
    <x:row r="134">
      <x:c r="A134" s="80" t="n">
        <x:v>130</x:v>
      </x:c>
      <x:c r="B134" s="81" t="str">
        <x:v>GRP-DETAIL-021</x:v>
      </x:c>
      <x:c r="C134" s="73" t="str">
        <x:v>7.7 단체 행사 상세</x:v>
      </x:c>
      <x:c r="D134" s="81" t="str">
        <x:v>P1</x:v>
      </x:c>
      <x:c r="E134" s="73" t="str"/>
      <x:c r="F134" s="73" t="str">
        <x:v>dashboard/frontdesk/groups_block_detail.html</x:v>
      </x:c>
      <x:c r="G134" s="73" t="str">
        <x:v>변경 이력 탭</x:v>
      </x:c>
      <x:c r="H134" s="73" t="str">
        <x:v>객실/투숙객/요금/상태 변경이 사용자 언어로 표시</x:v>
      </x:c>
      <x:c r="I134" s="81" t="str">
        <x:v>PASS</x:v>
      </x:c>
      <x:c r="J134" s="81" t="str">
        <x:v>성공</x:v>
      </x:c>
      <x:c r="K134" s="81" t="str">
        <x:v>수정 없음</x:v>
      </x:c>
      <x:c r="L134" s="73" t="str"/>
      <x:c r="M134" s="73" t="str"/>
      <x:c r="N134" s="73" t="str"/>
      <x:c r="O134" s="73" t="str">
        <x:v>기대 결과와 일치</x:v>
      </x:c>
      <x:c r="P134" s="73" t="str">
        <x:v>outputs/full-plan-20260719/103-functional-groups-rooms.json</x:v>
      </x:c>
    </x:row>
    <x:row r="135">
      <x:c r="A135" s="80" t="n">
        <x:v>131</x:v>
      </x:c>
      <x:c r="B135" s="81" t="str">
        <x:v>GRP-DETAIL-022</x:v>
      </x:c>
      <x:c r="C135" s="73" t="str">
        <x:v>7.7 단체 행사 상세</x:v>
      </x:c>
      <x:c r="D135" s="81" t="str">
        <x:v>P1</x:v>
      </x:c>
      <x:c r="E135" s="73" t="str"/>
      <x:c r="F135" s="73" t="str">
        <x:v>dashboard/frontdesk/groups_block_detail.html</x:v>
      </x:c>
      <x:c r="G135" s="73" t="str">
        <x:v>사용자 입력 문자열</x:v>
      </x:c>
      <x:c r="H135" s="73" t="str">
        <x:v>단체명, 행사명, 메모는 언어 전환 시 자동 번역하지 않음</x:v>
      </x:c>
      <x:c r="I135" s="81" t="str">
        <x:v>PASS</x:v>
      </x:c>
      <x:c r="J135" s="81" t="str">
        <x:v>성공</x:v>
      </x:c>
      <x:c r="K135" s="81" t="str">
        <x:v>수정 없음</x:v>
      </x:c>
      <x:c r="L135" s="73" t="str"/>
      <x:c r="M135" s="73" t="str"/>
      <x:c r="N135" s="73" t="str"/>
      <x:c r="O135" s="73" t="str">
        <x:v>기대 결과와 일치</x:v>
      </x:c>
      <x:c r="P135" s="73" t="str">
        <x:v>outputs/full-plan-20260719/103-functional-groups-rooms.json</x:v>
      </x:c>
    </x:row>
    <x:row r="136">
      <x:c r="A136" s="80" t="n">
        <x:v>132</x:v>
      </x:c>
      <x:c r="B136" s="81" t="str">
        <x:v>GRP-DETAIL-023</x:v>
      </x:c>
      <x:c r="C136" s="73" t="str">
        <x:v>7.7 단체 행사 상세</x:v>
      </x:c>
      <x:c r="D136" s="81" t="str">
        <x:v>P1</x:v>
      </x:c>
      <x:c r="E136" s="73" t="str"/>
      <x:c r="F136" s="73" t="str">
        <x:v>dashboard/frontdesk/groups_block_detail.html</x:v>
      </x:c>
      <x:c r="G136" s="73" t="str">
        <x:v>날짜/시간 EN 표시</x:v>
      </x:c>
      <x:c r="H136" s="73" t="str">
        <x:v>한국어 년/월/일, 오전/오후 문자열 없음</x:v>
      </x:c>
      <x:c r="I136" s="81" t="str">
        <x:v>PASS</x:v>
      </x:c>
      <x:c r="J136" s="81" t="str">
        <x:v>성공</x:v>
      </x:c>
      <x:c r="K136" s="81" t="str">
        <x:v>수정 없음</x:v>
      </x:c>
      <x:c r="L136" s="73" t="str"/>
      <x:c r="M136" s="73" t="str"/>
      <x:c r="N136" s="73" t="str"/>
      <x:c r="O136" s="73" t="str">
        <x:v>기대 결과와 일치</x:v>
      </x:c>
      <x:c r="P136" s="73" t="str">
        <x:v>outputs/full-plan-20260719/103-functional-groups-rooms.json</x:v>
      </x:c>
    </x:row>
    <x:row r="137">
      <x:c r="A137" s="80" t="n">
        <x:v>133</x:v>
      </x:c>
      <x:c r="B137" s="81" t="str">
        <x:v>GRP-DETAIL-024</x:v>
      </x:c>
      <x:c r="C137" s="73" t="str">
        <x:v>7.7 단체 행사 상세</x:v>
      </x:c>
      <x:c r="D137" s="81" t="str">
        <x:v>P1</x:v>
      </x:c>
      <x:c r="E137" s="73" t="str"/>
      <x:c r="F137" s="73" t="str">
        <x:v>dashboard/frontdesk/groups_block_detail.html</x:v>
      </x:c>
      <x:c r="G137" s="73" t="str">
        <x:v>모바일 탭/팝업</x:v>
      </x:c>
      <x:c r="H137" s="73" t="str">
        <x:v>탭, 명단, 객실 배정, 등록 팝업이 가로 넘침 없이 동작</x:v>
      </x:c>
      <x:c r="I137" s="81" t="str">
        <x:v>PASS</x:v>
      </x:c>
      <x:c r="J137" s="81" t="str">
        <x:v>성공</x:v>
      </x:c>
      <x:c r="K137" s="81" t="str">
        <x:v>수정 없음</x:v>
      </x:c>
      <x:c r="L137" s="73" t="str"/>
      <x:c r="M137" s="73" t="str"/>
      <x:c r="N137" s="73" t="str"/>
      <x:c r="O137" s="73" t="str">
        <x:v>기대 결과와 일치</x:v>
      </x:c>
      <x:c r="P137" s="73" t="str">
        <x:v>outputs/full-plan-20260719/103-functional-groups-rooms.json</x:v>
      </x:c>
    </x:row>
    <x:row r="138">
      <x:c r="A138" s="80" t="n">
        <x:v>134</x:v>
      </x:c>
      <x:c r="B138" s="81" t="str">
        <x:v>GRP-DETAIL-025</x:v>
      </x:c>
      <x:c r="C138" s="73" t="str">
        <x:v>7.7 단체 행사 상세</x:v>
      </x:c>
      <x:c r="D138" s="81" t="str">
        <x:v>P1</x:v>
      </x:c>
      <x:c r="E138" s="73" t="str"/>
      <x:c r="F138" s="73" t="str">
        <x:v>dashboard/frontdesk/groups_block_detail.html</x:v>
      </x:c>
      <x:c r="G138" s="73" t="str">
        <x:v>새로고침/직접 URL</x:v>
      </x:c>
      <x:c r="H138" s="73" t="str">
        <x:v>선택 행사와 활성 탭이 안전하게 복원</x:v>
      </x:c>
      <x:c r="I138" s="81" t="str">
        <x:v>PASS</x:v>
      </x:c>
      <x:c r="J138" s="81" t="str">
        <x:v>성공</x:v>
      </x:c>
      <x:c r="K138" s="81" t="str">
        <x:v>수정 없음</x:v>
      </x:c>
      <x:c r="L138" s="73" t="str"/>
      <x:c r="M138" s="73" t="str"/>
      <x:c r="N138" s="73" t="str"/>
      <x:c r="O138" s="73" t="str">
        <x:v>기대 결과와 일치</x:v>
      </x:c>
      <x:c r="P138" s="73" t="str">
        <x:v>outputs/full-plan-20260719/103-functional-groups-rooms.json</x:v>
      </x:c>
    </x:row>
    <x:row r="139">
      <x:c r="A139" s="80" t="n">
        <x:v>135</x:v>
      </x:c>
      <x:c r="B139" s="81" t="str">
        <x:v>GRP-COMP-001</x:v>
      </x:c>
      <x:c r="C139" s="73" t="str">
        <x:v>7.8 단체 업체 관리 및 거래 통계</x:v>
      </x:c>
      <x:c r="D139" s="81" t="str">
        <x:v>P0</x:v>
      </x:c>
      <x:c r="E139" s="73" t="str"/>
      <x:c r="F139" s="73" t="str">
        <x:v>dashboard/frontdesk/groups_companies.html</x:v>
      </x:c>
      <x:c r="G139" s="73" t="str">
        <x:v>단체 업체 신규 등록</x:v>
      </x:c>
      <x:c r="H139" s="73" t="str">
        <x:v>기본정보, 담당자, 할인, 결제 조건 저장</x:v>
      </x:c>
      <x:c r="I139" s="81" t="str">
        <x:v>PASS</x:v>
      </x:c>
      <x:c r="J139" s="81" t="str">
        <x:v>성공</x:v>
      </x:c>
      <x:c r="K139" s="81" t="str">
        <x:v>수정 없음</x:v>
      </x:c>
      <x:c r="L139" s="73" t="str"/>
      <x:c r="M139" s="73" t="str"/>
      <x:c r="N139" s="73" t="str"/>
      <x:c r="O139" s="73" t="str">
        <x:v>기대 결과와 일치</x:v>
      </x:c>
      <x:c r="P139" s="73" t="str">
        <x:v>outputs/full-plan-20260719/103-functional-groups-rooms.json</x:v>
      </x:c>
    </x:row>
    <x:row r="140">
      <x:c r="A140" s="80" t="n">
        <x:v>136</x:v>
      </x:c>
      <x:c r="B140" s="81" t="str">
        <x:v>GRP-COMP-002</x:v>
      </x:c>
      <x:c r="C140" s="73" t="str">
        <x:v>7.8 단체 업체 관리 및 거래 통계</x:v>
      </x:c>
      <x:c r="D140" s="81" t="str">
        <x:v>P0</x:v>
      </x:c>
      <x:c r="E140" s="73" t="str"/>
      <x:c r="F140" s="73" t="str">
        <x:v>dashboard/frontdesk/groups_companies.html</x:v>
      </x:c>
      <x:c r="G140" s="73" t="str">
        <x:v>단체 업체 수정</x:v>
      </x:c>
      <x:c r="H140" s="73" t="str">
        <x:v>같은 폼 구조로 열리고 모든 값 저장</x:v>
      </x:c>
      <x:c r="I140" s="81" t="str">
        <x:v>PASS</x:v>
      </x:c>
      <x:c r="J140" s="81" t="str">
        <x:v>성공</x:v>
      </x:c>
      <x:c r="K140" s="81" t="str">
        <x:v>수정 없음</x:v>
      </x:c>
      <x:c r="L140" s="73" t="str"/>
      <x:c r="M140" s="73" t="str"/>
      <x:c r="N140" s="73" t="str"/>
      <x:c r="O140" s="73" t="str">
        <x:v>기대 결과와 일치</x:v>
      </x:c>
      <x:c r="P140" s="73" t="str">
        <x:v>outputs/full-plan-20260719/103-functional-groups-rooms.json</x:v>
      </x:c>
    </x:row>
    <x:row r="141">
      <x:c r="A141" s="80" t="n">
        <x:v>137</x:v>
      </x:c>
      <x:c r="B141" s="81" t="str">
        <x:v>GRP-COMP-003</x:v>
      </x:c>
      <x:c r="C141" s="73" t="str">
        <x:v>7.8 단체 업체 관리 및 거래 통계</x:v>
      </x:c>
      <x:c r="D141" s="81" t="str">
        <x:v>P0</x:v>
      </x:c>
      <x:c r="E141" s="73" t="str"/>
      <x:c r="F141" s="73" t="str">
        <x:v>dashboard/frontdesk/groups_companies.html</x:v>
      </x:c>
      <x:c r="G141" s="73" t="str">
        <x:v>사용자 입력 단체명 확인</x:v>
      </x:c>
      <x:c r="H141" s="73" t="str">
        <x:v>입력한 한글/영문 이름을 임의 번역하지 않음</x:v>
      </x:c>
      <x:c r="I141" s="81" t="str">
        <x:v>PASS</x:v>
      </x:c>
      <x:c r="J141" s="81" t="str">
        <x:v>성공</x:v>
      </x:c>
      <x:c r="K141" s="81" t="str">
        <x:v>수정 없음</x:v>
      </x:c>
      <x:c r="L141" s="73" t="str"/>
      <x:c r="M141" s="73" t="str"/>
      <x:c r="N141" s="73" t="str"/>
      <x:c r="O141" s="73" t="str">
        <x:v>기대 결과와 일치</x:v>
      </x:c>
      <x:c r="P141" s="73" t="str">
        <x:v>outputs/full-plan-20260719/103-functional-groups-rooms.json</x:v>
      </x:c>
    </x:row>
    <x:row r="142">
      <x:c r="A142" s="80" t="n">
        <x:v>138</x:v>
      </x:c>
      <x:c r="B142" s="81" t="str">
        <x:v>GRP-COMP-004</x:v>
      </x:c>
      <x:c r="C142" s="73" t="str">
        <x:v>7.8 단체 업체 관리 및 거래 통계</x:v>
      </x:c>
      <x:c r="D142" s="81" t="str">
        <x:v>P0</x:v>
      </x:c>
      <x:c r="E142" s="73" t="str"/>
      <x:c r="F142" s="73" t="str">
        <x:v>dashboard/frontdesk/groups_companies.html</x:v>
      </x:c>
      <x:c r="G142" s="73" t="str">
        <x:v>삭제 가능 업체 삭제</x:v>
      </x:c>
      <x:c r="H142" s="73" t="str">
        <x:v>확인 후 목록/저장소에서 제거</x:v>
      </x:c>
      <x:c r="I142" s="81" t="str">
        <x:v>PASS</x:v>
      </x:c>
      <x:c r="J142" s="81" t="str">
        <x:v>성공</x:v>
      </x:c>
      <x:c r="K142" s="81" t="str">
        <x:v>수정 없음</x:v>
      </x:c>
      <x:c r="L142" s="73" t="str"/>
      <x:c r="M142" s="73" t="str"/>
      <x:c r="N142" s="73" t="str"/>
      <x:c r="O142" s="73" t="str">
        <x:v>기대 결과와 일치</x:v>
      </x:c>
      <x:c r="P142" s="73" t="str">
        <x:v>outputs/full-plan-20260719/103-functional-groups-rooms.json</x:v>
      </x:c>
    </x:row>
    <x:row r="143">
      <x:c r="A143" s="80" t="n">
        <x:v>139</x:v>
      </x:c>
      <x:c r="B143" s="81" t="str">
        <x:v>GRP-COMP-005</x:v>
      </x:c>
      <x:c r="C143" s="73" t="str">
        <x:v>7.8 단체 업체 관리 및 거래 통계</x:v>
      </x:c>
      <x:c r="D143" s="81" t="str">
        <x:v>P0</x:v>
      </x:c>
      <x:c r="E143" s="73" t="str"/>
      <x:c r="F143" s="73" t="str">
        <x:v>dashboard/frontdesk/groups_companies.html</x:v>
      </x:c>
      <x:c r="G143" s="73" t="str">
        <x:v>연결 행사 있는 업체 삭제</x:v>
      </x:c>
      <x:c r="H143" s="73" t="str">
        <x:v>삭제 차단과 연결 건수/사유 표시</x:v>
      </x:c>
      <x:c r="I143" s="81" t="str">
        <x:v>PASS</x:v>
      </x:c>
      <x:c r="J143" s="81" t="str">
        <x:v>성공</x:v>
      </x:c>
      <x:c r="K143" s="81" t="str">
        <x:v>수정 없음</x:v>
      </x:c>
      <x:c r="L143" s="73" t="str"/>
      <x:c r="M143" s="73" t="str"/>
      <x:c r="N143" s="73" t="str"/>
      <x:c r="O143" s="73" t="str">
        <x:v>기대 결과와 일치</x:v>
      </x:c>
      <x:c r="P143" s="73" t="str">
        <x:v>outputs/full-plan-20260719/103-functional-groups-rooms.json</x:v>
      </x:c>
    </x:row>
    <x:row r="144">
      <x:c r="A144" s="80" t="n">
        <x:v>140</x:v>
      </x:c>
      <x:c r="B144" s="81" t="str">
        <x:v>GRP-COMP-006</x:v>
      </x:c>
      <x:c r="C144" s="73" t="str">
        <x:v>7.8 단체 업체 관리 및 거래 통계</x:v>
      </x:c>
      <x:c r="D144" s="81" t="str">
        <x:v>P0</x:v>
      </x:c>
      <x:c r="E144" s="73" t="str"/>
      <x:c r="F144" s="73" t="str">
        <x:v>dashboard/frontdesk/groups_companies.html</x:v>
      </x:c>
      <x:c r="G144" s="73" t="str">
        <x:v>행사 종료 후 삭제 정책</x:v>
      </x:c>
      <x:c r="H144" s="73" t="str">
        <x:v>과거 이력 보존 정책에 따라 비활성 또는 삭제 가능 여부 정확</x:v>
      </x:c>
      <x:c r="I144" s="81" t="str">
        <x:v>PASS</x:v>
      </x:c>
      <x:c r="J144" s="81" t="str">
        <x:v>성공</x:v>
      </x:c>
      <x:c r="K144" s="81" t="str">
        <x:v>수정 없음</x:v>
      </x:c>
      <x:c r="L144" s="73" t="str"/>
      <x:c r="M144" s="73" t="str"/>
      <x:c r="N144" s="73" t="str"/>
      <x:c r="O144" s="73" t="str">
        <x:v>기대 결과와 일치</x:v>
      </x:c>
      <x:c r="P144" s="73" t="str">
        <x:v>outputs/full-plan-20260719/103-functional-groups-rooms.json</x:v>
      </x:c>
    </x:row>
    <x:row r="145">
      <x:c r="A145" s="80" t="n">
        <x:v>141</x:v>
      </x:c>
      <x:c r="B145" s="81" t="str">
        <x:v>GRP-COMP-007</x:v>
      </x:c>
      <x:c r="C145" s="73" t="str">
        <x:v>7.8 단체 업체 관리 및 거래 통계</x:v>
      </x:c>
      <x:c r="D145" s="81" t="str">
        <x:v>P0</x:v>
      </x:c>
      <x:c r="E145" s="73" t="str"/>
      <x:c r="F145" s="73" t="str">
        <x:v>dashboard/frontdesk/groups_companies.html</x:v>
      </x:c>
      <x:c r="G145" s="73" t="str">
        <x:v>거래 통계 버튼</x:v>
      </x:c>
      <x:c r="H145" s="73" t="str">
        <x:v>선택한 단체만 팝업에 표시하고 단체 재선택 UI 없음</x:v>
      </x:c>
      <x:c r="I145" s="81" t="str">
        <x:v>PASS</x:v>
      </x:c>
      <x:c r="J145" s="81" t="str">
        <x:v>성공</x:v>
      </x:c>
      <x:c r="K145" s="81" t="str">
        <x:v>수정 없음</x:v>
      </x:c>
      <x:c r="L145" s="73" t="str"/>
      <x:c r="M145" s="73" t="str"/>
      <x:c r="N145" s="73" t="str"/>
      <x:c r="O145" s="73" t="str">
        <x:v>기대 결과와 일치</x:v>
      </x:c>
      <x:c r="P145" s="73" t="str">
        <x:v>outputs/full-plan-20260719/103-functional-groups-rooms.json</x:v>
      </x:c>
    </x:row>
    <x:row r="146">
      <x:c r="A146" s="80" t="n">
        <x:v>142</x:v>
      </x:c>
      <x:c r="B146" s="81" t="str">
        <x:v>GRP-COMP-008</x:v>
      </x:c>
      <x:c r="C146" s="73" t="str">
        <x:v>7.8 단체 업체 관리 및 거래 통계</x:v>
      </x:c>
      <x:c r="D146" s="81" t="str">
        <x:v>P0</x:v>
      </x:c>
      <x:c r="E146" s="73" t="str"/>
      <x:c r="F146" s="73" t="str">
        <x:v>dashboard/frontdesk/groups_companies.html</x:v>
      </x:c>
      <x:c r="G146" s="73" t="str">
        <x:v>전체/1년/기간 선택</x:v>
      </x:c>
      <x:c r="H146" s="73" t="str">
        <x:v>기간 요약과 상세 거래 이력이 함께 갱신</x:v>
      </x:c>
      <x:c r="I146" s="81" t="str">
        <x:v>PASS</x:v>
      </x:c>
      <x:c r="J146" s="81" t="str">
        <x:v>성공</x:v>
      </x:c>
      <x:c r="K146" s="81" t="str">
        <x:v>수정 없음</x:v>
      </x:c>
      <x:c r="L146" s="73" t="str"/>
      <x:c r="M146" s="73" t="str"/>
      <x:c r="N146" s="73" t="str"/>
      <x:c r="O146" s="73" t="str">
        <x:v>기대 결과와 일치</x:v>
      </x:c>
      <x:c r="P146" s="73" t="str">
        <x:v>outputs/full-plan-20260719/103-functional-groups-rooms.json</x:v>
      </x:c>
    </x:row>
    <x:row r="147">
      <x:c r="A147" s="80" t="n">
        <x:v>143</x:v>
      </x:c>
      <x:c r="B147" s="81" t="str">
        <x:v>GRP-COMP-009</x:v>
      </x:c>
      <x:c r="C147" s="73" t="str">
        <x:v>7.8 단체 업체 관리 및 거래 통계</x:v>
      </x:c>
      <x:c r="D147" s="81" t="str">
        <x:v>P0</x:v>
      </x:c>
      <x:c r="E147" s="73" t="str"/>
      <x:c r="F147" s="73" t="str">
        <x:v>dashboard/frontdesk/groups_companies.html</x:v>
      </x:c>
      <x:c r="G147" s="73" t="str">
        <x:v>객실/부가서비스/합계</x:v>
      </x:c>
      <x:c r="H147" s="73" t="str">
        <x:v>상단 KPI, 기간 요약, 상세 합계가 일치</x:v>
      </x:c>
      <x:c r="I147" s="81" t="str">
        <x:v>PASS</x:v>
      </x:c>
      <x:c r="J147" s="81" t="str">
        <x:v>성공</x:v>
      </x:c>
      <x:c r="K147" s="81" t="str">
        <x:v>수정 없음</x:v>
      </x:c>
      <x:c r="L147" s="73" t="str"/>
      <x:c r="M147" s="73" t="str"/>
      <x:c r="N147" s="73" t="str"/>
      <x:c r="O147" s="73" t="str">
        <x:v>기대 결과와 일치</x:v>
      </x:c>
      <x:c r="P147" s="73" t="str">
        <x:v>outputs/full-plan-20260719/103-functional-groups-rooms.json</x:v>
      </x:c>
    </x:row>
    <x:row r="148">
      <x:c r="A148" s="80" t="n">
        <x:v>144</x:v>
      </x:c>
      <x:c r="B148" s="81" t="str">
        <x:v>GRP-COMP-010</x:v>
      </x:c>
      <x:c r="C148" s="73" t="str">
        <x:v>7.8 단체 업체 관리 및 거래 통계</x:v>
      </x:c>
      <x:c r="D148" s="81" t="str">
        <x:v>P0</x:v>
      </x:c>
      <x:c r="E148" s="73" t="str"/>
      <x:c r="F148" s="73" t="str">
        <x:v>dashboard/frontdesk/groups_companies.html</x:v>
      </x:c>
      <x:c r="G148" s="73" t="str">
        <x:v>항목별 부가서비스 합계</x:v>
      </x:c>
      <x:c r="H148" s="73" t="str">
        <x:v>POS/골프/렌터카/음식점/기타 합계와 총합 일치</x:v>
      </x:c>
      <x:c r="I148" s="81" t="str">
        <x:v>PASS</x:v>
      </x:c>
      <x:c r="J148" s="81" t="str">
        <x:v>성공</x:v>
      </x:c>
      <x:c r="K148" s="81" t="str">
        <x:v>수정 없음</x:v>
      </x:c>
      <x:c r="L148" s="73" t="str"/>
      <x:c r="M148" s="73" t="str"/>
      <x:c r="N148" s="73" t="str"/>
      <x:c r="O148" s="73" t="str">
        <x:v>기대 결과와 일치</x:v>
      </x:c>
      <x:c r="P148" s="73" t="str">
        <x:v>outputs/full-plan-20260719/103-functional-groups-rooms.json</x:v>
      </x:c>
    </x:row>
    <x:row r="149">
      <x:c r="A149" s="80" t="n">
        <x:v>145</x:v>
      </x:c>
      <x:c r="B149" s="81" t="str">
        <x:v>GRP-COMP-011</x:v>
      </x:c>
      <x:c r="C149" s="73" t="str">
        <x:v>7.8 단체 업체 관리 및 거래 통계</x:v>
      </x:c>
      <x:c r="D149" s="81" t="str">
        <x:v>P1</x:v>
      </x:c>
      <x:c r="E149" s="73" t="str"/>
      <x:c r="F149" s="73" t="str">
        <x:v>dashboard/frontdesk/groups_companies.html</x:v>
      </x:c>
      <x:c r="G149" s="73" t="str">
        <x:v>기간 시작/종료 검증</x:v>
      </x:c>
      <x:c r="H149" s="73" t="str">
        <x:v>역전/빈 날짜 차단, 기간 preset 정확</x:v>
      </x:c>
      <x:c r="I149" s="81" t="str">
        <x:v>PASS</x:v>
      </x:c>
      <x:c r="J149" s="81" t="str">
        <x:v>성공</x:v>
      </x:c>
      <x:c r="K149" s="81" t="str">
        <x:v>수정 없음</x:v>
      </x:c>
      <x:c r="L149" s="73" t="str"/>
      <x:c r="M149" s="73" t="str"/>
      <x:c r="N149" s="73" t="str"/>
      <x:c r="O149" s="73" t="str">
        <x:v>기대 결과와 일치</x:v>
      </x:c>
      <x:c r="P149" s="73" t="str">
        <x:v>outputs/full-plan-20260719/103-functional-groups-rooms.json</x:v>
      </x:c>
    </x:row>
    <x:row r="150">
      <x:c r="A150" s="80" t="n">
        <x:v>146</x:v>
      </x:c>
      <x:c r="B150" s="81" t="str">
        <x:v>GRP-COMP-012</x:v>
      </x:c>
      <x:c r="C150" s="73" t="str">
        <x:v>7.8 단체 업체 관리 및 거래 통계</x:v>
      </x:c>
      <x:c r="D150" s="81" t="str">
        <x:v>P1</x:v>
      </x:c>
      <x:c r="E150" s="73" t="str"/>
      <x:c r="F150" s="73" t="str">
        <x:v>dashboard/frontdesk/groups_companies.html</x:v>
      </x:c>
      <x:c r="G150" s="73" t="str">
        <x:v>상세 테이블 정렬</x:v>
      </x:c>
      <x:c r="H150" s="73" t="str">
        <x:v>열 정렬, 합계 행, 긴 행사명 넘침 없음</x:v>
      </x:c>
      <x:c r="I150" s="81" t="str">
        <x:v>PASS</x:v>
      </x:c>
      <x:c r="J150" s="81" t="str">
        <x:v>성공</x:v>
      </x:c>
      <x:c r="K150" s="81" t="str">
        <x:v>수정 없음</x:v>
      </x:c>
      <x:c r="L150" s="73" t="str"/>
      <x:c r="M150" s="73" t="str"/>
      <x:c r="N150" s="73" t="str"/>
      <x:c r="O150" s="73" t="str">
        <x:v>기대 결과와 일치</x:v>
      </x:c>
      <x:c r="P150" s="73" t="str">
        <x:v>outputs/full-plan-20260719/103-functional-groups-rooms.json</x:v>
      </x:c>
    </x:row>
    <x:row r="151">
      <x:c r="A151" s="80" t="n">
        <x:v>147</x:v>
      </x:c>
      <x:c r="B151" s="81" t="str">
        <x:v>GRP-COMP-013</x:v>
      </x:c>
      <x:c r="C151" s="73" t="str">
        <x:v>7.8 단체 업체 관리 및 거래 통계</x:v>
      </x:c>
      <x:c r="D151" s="81" t="str">
        <x:v>P1</x:v>
      </x:c>
      <x:c r="E151" s="73" t="str"/>
      <x:c r="F151" s="73" t="str">
        <x:v>dashboard/frontdesk/groups_companies.html</x:v>
      </x:c>
      <x:c r="G151" s="73" t="str">
        <x:v>검색/유형/상태 필터</x:v>
      </x:c>
      <x:c r="H151" s="73" t="str">
        <x:v>실제 업체 수와 카드 수 일치</x:v>
      </x:c>
      <x:c r="I151" s="81" t="str">
        <x:v>PASS</x:v>
      </x:c>
      <x:c r="J151" s="81" t="str">
        <x:v>성공</x:v>
      </x:c>
      <x:c r="K151" s="81" t="str">
        <x:v>수정 없음</x:v>
      </x:c>
      <x:c r="L151" s="73" t="str"/>
      <x:c r="M151" s="73" t="str"/>
      <x:c r="N151" s="73" t="str"/>
      <x:c r="O151" s="73" t="str">
        <x:v>기대 결과와 일치</x:v>
      </x:c>
      <x:c r="P151" s="73" t="str">
        <x:v>outputs/full-plan-20260719/103-functional-groups-rooms.json</x:v>
      </x:c>
    </x:row>
    <x:row r="152">
      <x:c r="A152" s="80" t="n">
        <x:v>148</x:v>
      </x:c>
      <x:c r="B152" s="81" t="str">
        <x:v>GRP-COMP-014</x:v>
      </x:c>
      <x:c r="C152" s="73" t="str">
        <x:v>7.8 단체 업체 관리 및 거래 통계</x:v>
      </x:c>
      <x:c r="D152" s="81" t="str">
        <x:v>P1</x:v>
      </x:c>
      <x:c r="E152" s="73" t="str"/>
      <x:c r="F152" s="73" t="str">
        <x:v>dashboard/frontdesk/groups_companies.html</x:v>
      </x:c>
      <x:c r="G152" s="73" t="str">
        <x:v>모바일 통계 팝업</x:v>
      </x:c>
      <x:c r="H152" s="73" t="str">
        <x:v>가로 스크롤 없이 요약과 상세 확인 가능</x:v>
      </x:c>
      <x:c r="I152" s="81" t="str">
        <x:v>PASS</x:v>
      </x:c>
      <x:c r="J152" s="81" t="str">
        <x:v>성공</x:v>
      </x:c>
      <x:c r="K152" s="81" t="str">
        <x:v>수정 없음</x:v>
      </x:c>
      <x:c r="L152" s="73" t="str"/>
      <x:c r="M152" s="73" t="str"/>
      <x:c r="N152" s="73" t="str"/>
      <x:c r="O152" s="73" t="str">
        <x:v>기대 결과와 일치</x:v>
      </x:c>
      <x:c r="P152" s="73" t="str">
        <x:v>outputs/full-plan-20260719/103-functional-groups-rooms.json</x:v>
      </x:c>
    </x:row>
    <x:row r="153">
      <x:c r="A153" s="80" t="n">
        <x:v>149</x:v>
      </x:c>
      <x:c r="B153" s="81" t="str">
        <x:v>GRP-COMP-015</x:v>
      </x:c>
      <x:c r="C153" s="73" t="str">
        <x:v>7.8 단체 업체 관리 및 거래 통계</x:v>
      </x:c>
      <x:c r="D153" s="81" t="str">
        <x:v>P1</x:v>
      </x:c>
      <x:c r="E153" s="73" t="str"/>
      <x:c r="F153" s="73" t="str">
        <x:v>dashboard/frontdesk/groups_companies.html</x:v>
      </x:c>
      <x:c r="G153" s="73" t="str">
        <x:v>EN 날짜 placeholder</x:v>
      </x:c>
      <x:c r="H153" s="73" t="str">
        <x:v>YYYY-MM-DD` 또는 영어 locale, 한글 년/월/일 없음</x:v>
      </x:c>
      <x:c r="I153" s="81" t="str">
        <x:v>PASS</x:v>
      </x:c>
      <x:c r="J153" s="81" t="str">
        <x:v>성공</x:v>
      </x:c>
      <x:c r="K153" s="81" t="str">
        <x:v>수정 없음</x:v>
      </x:c>
      <x:c r="L153" s="73" t="str"/>
      <x:c r="M153" s="73" t="str"/>
      <x:c r="N153" s="73" t="str"/>
      <x:c r="O153" s="73" t="str">
        <x:v>기대 결과와 일치</x:v>
      </x:c>
      <x:c r="P153" s="73" t="str">
        <x:v>outputs/full-plan-20260719/103-functional-groups-rooms.json</x:v>
      </x:c>
    </x:row>
    <x:row r="154">
      <x:c r="A154" s="80" t="n">
        <x:v>150</x:v>
      </x:c>
      <x:c r="B154" s="81" t="str">
        <x:v>ROOM-SETUP-001</x:v>
      </x:c>
      <x:c r="C154" s="73" t="str">
        <x:v>7.9 객실 유형 및 객실 관리</x:v>
      </x:c>
      <x:c r="D154" s="81" t="str">
        <x:v>P0</x:v>
      </x:c>
      <x:c r="E154" s="73" t="str">
        <x:v>room-setup</x:v>
      </x:c>
      <x:c r="F154" s="73" t="str">
        <x:v>dashboard/operations/room-setup.html</x:v>
      </x:c>
      <x:c r="G154" s="73" t="str">
        <x:v>객실 유형 신규 등록</x:v>
      </x:c>
      <x:c r="H154" s="73" t="str">
        <x:v>명칭, 설명, 기준 인원, 최대 인원, 기본요금 저장</x:v>
      </x:c>
      <x:c r="I154" s="81" t="str">
        <x:v>PASS</x:v>
      </x:c>
      <x:c r="J154" s="81" t="str">
        <x:v>성공</x:v>
      </x:c>
      <x:c r="K154" s="81" t="str">
        <x:v>수정 없음</x:v>
      </x:c>
      <x:c r="L154" s="73" t="str"/>
      <x:c r="M154" s="73" t="str"/>
      <x:c r="N154" s="73" t="str"/>
      <x:c r="O154" s="73" t="str">
        <x:v>기대 결과와 일치</x:v>
      </x:c>
      <x:c r="P154" s="73" t="str">
        <x:v>outputs/full-plan-20260719/103-functional-groups-rooms.json</x:v>
      </x:c>
    </x:row>
    <x:row r="155">
      <x:c r="A155" s="80" t="n">
        <x:v>151</x:v>
      </x:c>
      <x:c r="B155" s="81" t="str">
        <x:v>ROOM-SETUP-002</x:v>
      </x:c>
      <x:c r="C155" s="73" t="str">
        <x:v>7.9 객실 유형 및 객실 관리</x:v>
      </x:c>
      <x:c r="D155" s="81" t="str">
        <x:v>P0</x:v>
      </x:c>
      <x:c r="E155" s="73" t="str">
        <x:v>room-setup</x:v>
      </x:c>
      <x:c r="F155" s="73" t="str">
        <x:v>dashboard/operations/room-setup.html</x:v>
      </x:c>
      <x:c r="G155" s="73" t="str">
        <x:v>객실 유형 수정</x:v>
      </x:c>
      <x:c r="H155" s="73" t="str">
        <x:v>연결 객실의 표시명/요금 정책에 안전하게 반영</x:v>
      </x:c>
      <x:c r="I155" s="81" t="str">
        <x:v>PASS</x:v>
      </x:c>
      <x:c r="J155" s="81" t="str">
        <x:v>성공</x:v>
      </x:c>
      <x:c r="K155" s="81" t="str">
        <x:v>수정 없음</x:v>
      </x:c>
      <x:c r="L155" s="73" t="str"/>
      <x:c r="M155" s="73" t="str"/>
      <x:c r="N155" s="73" t="str"/>
      <x:c r="O155" s="73" t="str">
        <x:v>기대 결과와 일치</x:v>
      </x:c>
      <x:c r="P155" s="73" t="str">
        <x:v>outputs/full-plan-20260719/103-functional-groups-rooms.json</x:v>
      </x:c>
    </x:row>
    <x:row r="156">
      <x:c r="A156" s="80" t="n">
        <x:v>152</x:v>
      </x:c>
      <x:c r="B156" s="81" t="str">
        <x:v>ROOM-SETUP-003</x:v>
      </x:c>
      <x:c r="C156" s="73" t="str">
        <x:v>7.9 객실 유형 및 객실 관리</x:v>
      </x:c>
      <x:c r="D156" s="81" t="str">
        <x:v>P0</x:v>
      </x:c>
      <x:c r="E156" s="73" t="str">
        <x:v>room-setup</x:v>
      </x:c>
      <x:c r="F156" s="73" t="str">
        <x:v>dashboard/operations/room-setup.html</x:v>
      </x:c>
      <x:c r="G156" s="73" t="str">
        <x:v>사용 중 유형 삭제</x:v>
      </x:c>
      <x:c r="H156" s="73" t="str">
        <x:v>연결 객실이 있으면 차단 및 사유 표시</x:v>
      </x:c>
      <x:c r="I156" s="81" t="str">
        <x:v>PASS</x:v>
      </x:c>
      <x:c r="J156" s="81" t="str">
        <x:v>성공</x:v>
      </x:c>
      <x:c r="K156" s="81" t="str">
        <x:v>수정 없음</x:v>
      </x:c>
      <x:c r="L156" s="73" t="str"/>
      <x:c r="M156" s="73" t="str"/>
      <x:c r="N156" s="73" t="str"/>
      <x:c r="O156" s="73" t="str">
        <x:v>기대 결과와 일치</x:v>
      </x:c>
      <x:c r="P156" s="73" t="str">
        <x:v>outputs/full-plan-20260719/103-functional-groups-rooms.json</x:v>
      </x:c>
    </x:row>
    <x:row r="157">
      <x:c r="A157" s="80" t="n">
        <x:v>153</x:v>
      </x:c>
      <x:c r="B157" s="81" t="str">
        <x:v>ROOM-SETUP-004</x:v>
      </x:c>
      <x:c r="C157" s="73" t="str">
        <x:v>7.9 객실 유형 및 객실 관리</x:v>
      </x:c>
      <x:c r="D157" s="81" t="str">
        <x:v>P0</x:v>
      </x:c>
      <x:c r="E157" s="73" t="str">
        <x:v>room-setup</x:v>
      </x:c>
      <x:c r="F157" s="73" t="str">
        <x:v>dashboard/operations/room-setup.html</x:v>
      </x:c>
      <x:c r="G157" s="73" t="str">
        <x:v>객실 신규 등록</x:v>
      </x:c>
      <x:c r="H157" s="73" t="str">
        <x:v>건물, 층, 호실, 유형, 상태 저장</x:v>
      </x:c>
      <x:c r="I157" s="81" t="str">
        <x:v>PASS</x:v>
      </x:c>
      <x:c r="J157" s="81" t="str">
        <x:v>성공</x:v>
      </x:c>
      <x:c r="K157" s="81" t="str">
        <x:v>수정 없음</x:v>
      </x:c>
      <x:c r="L157" s="73" t="str"/>
      <x:c r="M157" s="73" t="str"/>
      <x:c r="N157" s="73" t="str"/>
      <x:c r="O157" s="73" t="str">
        <x:v>기대 결과와 일치</x:v>
      </x:c>
      <x:c r="P157" s="73" t="str">
        <x:v>outputs/full-plan-20260719/103-functional-groups-rooms.json</x:v>
      </x:c>
    </x:row>
    <x:row r="158">
      <x:c r="A158" s="80" t="n">
        <x:v>154</x:v>
      </x:c>
      <x:c r="B158" s="81" t="str">
        <x:v>ROOM-SETUP-005</x:v>
      </x:c>
      <x:c r="C158" s="73" t="str">
        <x:v>7.9 객실 유형 및 객실 관리</x:v>
      </x:c>
      <x:c r="D158" s="81" t="str">
        <x:v>P0</x:v>
      </x:c>
      <x:c r="E158" s="73" t="str">
        <x:v>room-setup</x:v>
      </x:c>
      <x:c r="F158" s="73" t="str">
        <x:v>dashboard/operations/room-setup.html</x:v>
      </x:c>
      <x:c r="G158" s="73" t="str">
        <x:v>중복 호실 등록</x:v>
      </x:c>
      <x:c r="H158" s="73" t="str">
        <x:v>중복 차단 및 기존 객실 유지</x:v>
      </x:c>
      <x:c r="I158" s="81" t="str">
        <x:v>PASS</x:v>
      </x:c>
      <x:c r="J158" s="81" t="str">
        <x:v>성공</x:v>
      </x:c>
      <x:c r="K158" s="81" t="str">
        <x:v>수정 없음</x:v>
      </x:c>
      <x:c r="L158" s="73" t="str"/>
      <x:c r="M158" s="73" t="str"/>
      <x:c r="N158" s="73" t="str"/>
      <x:c r="O158" s="73" t="str">
        <x:v>기대 결과와 일치</x:v>
      </x:c>
      <x:c r="P158" s="73" t="str">
        <x:v>outputs/full-plan-20260719/103-functional-groups-rooms.json</x:v>
      </x:c>
    </x:row>
    <x:row r="159">
      <x:c r="A159" s="80" t="n">
        <x:v>155</x:v>
      </x:c>
      <x:c r="B159" s="81" t="str">
        <x:v>ROOM-SETUP-006</x:v>
      </x:c>
      <x:c r="C159" s="73" t="str">
        <x:v>7.9 객실 유형 및 객실 관리</x:v>
      </x:c>
      <x:c r="D159" s="81" t="str">
        <x:v>P0</x:v>
      </x:c>
      <x:c r="E159" s="73" t="str">
        <x:v>room-setup</x:v>
      </x:c>
      <x:c r="F159" s="73" t="str">
        <x:v>dashboard/operations/room-setup.html</x:v>
      </x:c>
      <x:c r="G159" s="73" t="str">
        <x:v>객실 수정/삭제</x:v>
      </x:c>
      <x:c r="H159" s="73" t="str">
        <x:v>예약/투숙/정산 연결 여부에 따라 안전하게 처리</x:v>
      </x:c>
      <x:c r="I159" s="81" t="str">
        <x:v>PASS</x:v>
      </x:c>
      <x:c r="J159" s="81" t="str">
        <x:v>성공</x:v>
      </x:c>
      <x:c r="K159" s="81" t="str">
        <x:v>수정 없음</x:v>
      </x:c>
      <x:c r="L159" s="73" t="str"/>
      <x:c r="M159" s="73" t="str"/>
      <x:c r="N159" s="73" t="str"/>
      <x:c r="O159" s="73" t="str">
        <x:v>기대 결과와 일치</x:v>
      </x:c>
      <x:c r="P159" s="73" t="str">
        <x:v>outputs/full-plan-20260719/103-functional-groups-rooms.json</x:v>
      </x:c>
    </x:row>
    <x:row r="160">
      <x:c r="A160" s="80" t="n">
        <x:v>156</x:v>
      </x:c>
      <x:c r="B160" s="81" t="str">
        <x:v>ROOM-SETUP-007</x:v>
      </x:c>
      <x:c r="C160" s="73" t="str">
        <x:v>7.9 객실 유형 및 객실 관리</x:v>
      </x:c>
      <x:c r="D160" s="81" t="str">
        <x:v>P1</x:v>
      </x:c>
      <x:c r="E160" s="73" t="str">
        <x:v>room-setup</x:v>
      </x:c>
      <x:c r="F160" s="73" t="str">
        <x:v>dashboard/operations/room-setup.html</x:v>
      </x:c>
      <x:c r="G160" s="73" t="str">
        <x:v>건물/층 정렬</x:v>
      </x:c>
      <x:c r="H160" s="73" t="str">
        <x:v>숫자/PH/Villa 호실이 정의한 순서로 표시</x:v>
      </x:c>
      <x:c r="I160" s="81" t="str">
        <x:v>PASS</x:v>
      </x:c>
      <x:c r="J160" s="81" t="str">
        <x:v>성공</x:v>
      </x:c>
      <x:c r="K160" s="81" t="str">
        <x:v>수정 없음</x:v>
      </x:c>
      <x:c r="L160" s="73" t="str"/>
      <x:c r="M160" s="73" t="str"/>
      <x:c r="N160" s="73" t="str"/>
      <x:c r="O160" s="73" t="str">
        <x:v>기대 결과와 일치</x:v>
      </x:c>
      <x:c r="P160" s="73" t="str">
        <x:v>outputs/full-plan-20260719/103-functional-groups-rooms.json</x:v>
      </x:c>
    </x:row>
    <x:row r="161">
      <x:c r="A161" s="80" t="n">
        <x:v>157</x:v>
      </x:c>
      <x:c r="B161" s="81" t="str">
        <x:v>ROOM-SETUP-008</x:v>
      </x:c>
      <x:c r="C161" s="73" t="str">
        <x:v>7.9 객실 유형 및 객실 관리</x:v>
      </x:c>
      <x:c r="D161" s="81" t="str">
        <x:v>P1</x:v>
      </x:c>
      <x:c r="E161" s="73" t="str">
        <x:v>room-setup</x:v>
      </x:c>
      <x:c r="F161" s="73" t="str">
        <x:v>dashboard/operations/room-setup.html</x:v>
      </x:c>
      <x:c r="G161" s="73" t="str">
        <x:v>인원/금액 숫자 검증</x:v>
      </x:c>
      <x:c r="H161" s="73" t="str">
        <x:v>음수, 0, 과도한 수치 차단</x:v>
      </x:c>
      <x:c r="I161" s="81" t="str">
        <x:v>PASS</x:v>
      </x:c>
      <x:c r="J161" s="81" t="str">
        <x:v>성공</x:v>
      </x:c>
      <x:c r="K161" s="81" t="str">
        <x:v>수정 없음</x:v>
      </x:c>
      <x:c r="L161" s="73" t="str"/>
      <x:c r="M161" s="73" t="str"/>
      <x:c r="N161" s="73" t="str"/>
      <x:c r="O161" s="73" t="str">
        <x:v>기대 결과와 일치</x:v>
      </x:c>
      <x:c r="P161" s="73" t="str">
        <x:v>outputs/full-plan-20260719/103-functional-groups-rooms.json</x:v>
      </x:c>
    </x:row>
    <x:row r="162">
      <x:c r="A162" s="80" t="n">
        <x:v>158</x:v>
      </x:c>
      <x:c r="B162" s="81" t="str">
        <x:v>ROOM-SETUP-009</x:v>
      </x:c>
      <x:c r="C162" s="73" t="str">
        <x:v>7.9 객실 유형 및 객실 관리</x:v>
      </x:c>
      <x:c r="D162" s="81" t="str">
        <x:v>P1</x:v>
      </x:c>
      <x:c r="E162" s="73" t="str">
        <x:v>room-setup</x:v>
      </x:c>
      <x:c r="F162" s="73" t="str">
        <x:v>dashboard/operations/room-setup.html</x:v>
      </x:c>
      <x:c r="G162" s="73" t="str">
        <x:v>검색/필터</x:v>
      </x:c>
      <x:c r="H162" s="73" t="str">
        <x:v>유형, 건물, 층 조건 정확</x:v>
      </x:c>
      <x:c r="I162" s="81" t="str">
        <x:v>PASS</x:v>
      </x:c>
      <x:c r="J162" s="81" t="str">
        <x:v>성공</x:v>
      </x:c>
      <x:c r="K162" s="81" t="str">
        <x:v>수정 없음</x:v>
      </x:c>
      <x:c r="L162" s="73" t="str"/>
      <x:c r="M162" s="73" t="str"/>
      <x:c r="N162" s="73" t="str"/>
      <x:c r="O162" s="73" t="str">
        <x:v>기대 결과와 일치</x:v>
      </x:c>
      <x:c r="P162" s="73" t="str">
        <x:v>outputs/full-plan-20260719/103-functional-groups-rooms.json</x:v>
      </x:c>
    </x:row>
    <x:row r="163">
      <x:c r="A163" s="80" t="n">
        <x:v>159</x:v>
      </x:c>
      <x:c r="B163" s="81" t="str">
        <x:v>ROOM-SETUP-010</x:v>
      </x:c>
      <x:c r="C163" s="73" t="str">
        <x:v>7.9 객실 유형 및 객실 관리</x:v>
      </x:c>
      <x:c r="D163" s="81" t="str">
        <x:v>P1</x:v>
      </x:c>
      <x:c r="E163" s="73" t="str">
        <x:v>room-setup</x:v>
      </x:c>
      <x:c r="F163" s="73" t="str">
        <x:v>dashboard/operations/room-setup.html</x:v>
      </x:c>
      <x:c r="G163" s="73" t="str">
        <x:v>KR/EN 팝업</x:v>
      </x:c>
      <x:c r="H163" s="73" t="str">
        <x:v>전체 입력 라벨/option/오류 메시지 단일 언어</x:v>
      </x:c>
      <x:c r="I163" s="81" t="str">
        <x:v>PASS</x:v>
      </x:c>
      <x:c r="J163" s="81" t="str">
        <x:v>성공</x:v>
      </x:c>
      <x:c r="K163" s="81" t="str">
        <x:v>수정 없음</x:v>
      </x:c>
      <x:c r="L163" s="73" t="str"/>
      <x:c r="M163" s="73" t="str"/>
      <x:c r="N163" s="73" t="str"/>
      <x:c r="O163" s="73" t="str">
        <x:v>기대 결과와 일치</x:v>
      </x:c>
      <x:c r="P163" s="73" t="str">
        <x:v>outputs/full-plan-20260719/103-functional-groups-rooms.json</x:v>
      </x:c>
    </x:row>
    <x:row r="164">
      <x:c r="A164" s="80" t="n">
        <x:v>160</x:v>
      </x:c>
      <x:c r="B164" s="81" t="str">
        <x:v>ROOMS-001</x:v>
      </x:c>
      <x:c r="C164" s="73" t="str">
        <x:v>7.9 객실 유형 및 객실 관리</x:v>
      </x:c>
      <x:c r="D164" s="81" t="str">
        <x:v>P0</x:v>
      </x:c>
      <x:c r="E164" s="73" t="str">
        <x:v>rooms</x:v>
      </x:c>
      <x:c r="F164" s="73" t="str">
        <x:v>dashboard/operations/rooms.html</x:v>
      </x:c>
      <x:c r="G164" s="73" t="str">
        <x:v>객실 상태 목록</x:v>
      </x:c>
      <x:c r="H164" s="73" t="str">
        <x:v>예약 현황/하우스키핑/시설 보수 상태와 일치</x:v>
      </x:c>
      <x:c r="I164" s="81" t="str">
        <x:v>PASS</x:v>
      </x:c>
      <x:c r="J164" s="81" t="str">
        <x:v>성공</x:v>
      </x:c>
      <x:c r="K164" s="81" t="str">
        <x:v>수정 없음</x:v>
      </x:c>
      <x:c r="L164" s="73" t="str"/>
      <x:c r="M164" s="73" t="str"/>
      <x:c r="N164" s="73" t="str"/>
      <x:c r="O164" s="73" t="str">
        <x:v>기대 결과와 일치</x:v>
      </x:c>
      <x:c r="P164" s="73" t="str">
        <x:v>01-smoke-all-pages.log, 02-smoke-interactions.log, 03-smoke-inputs-ko.log, 04-smoke-inputs-en.log</x:v>
      </x:c>
    </x:row>
    <x:row r="165">
      <x:c r="A165" s="80" t="n">
        <x:v>161</x:v>
      </x:c>
      <x:c r="B165" s="81" t="str">
        <x:v>ROOMS-002</x:v>
      </x:c>
      <x:c r="C165" s="73" t="str">
        <x:v>7.9 객실 유형 및 객실 관리</x:v>
      </x:c>
      <x:c r="D165" s="81" t="str">
        <x:v>P0</x:v>
      </x:c>
      <x:c r="E165" s="73" t="str">
        <x:v>rooms</x:v>
      </x:c>
      <x:c r="F165" s="73" t="str">
        <x:v>dashboard/operations/rooms.html</x:v>
      </x:c>
      <x:c r="G165" s="73" t="str">
        <x:v>객실 상세 진입</x:v>
      </x:c>
      <x:c r="H165" s="73" t="str">
        <x:v>선택 객실 정보, 현재 투숙객, 다음 예약 정확</x:v>
      </x:c>
      <x:c r="I165" s="81" t="str">
        <x:v>PASS</x:v>
      </x:c>
      <x:c r="J165" s="81" t="str">
        <x:v>성공</x:v>
      </x:c>
      <x:c r="K165" s="81" t="str">
        <x:v>수정 없음</x:v>
      </x:c>
      <x:c r="L165" s="73" t="str"/>
      <x:c r="M165" s="73" t="str"/>
      <x:c r="N165" s="73" t="str"/>
      <x:c r="O165" s="73" t="str">
        <x:v>기대 결과와 일치</x:v>
      </x:c>
      <x:c r="P165" s="73" t="str">
        <x:v>01-smoke-all-pages.log, 02-smoke-interactions.log, 03-smoke-inputs-ko.log, 04-smoke-inputs-en.log</x:v>
      </x:c>
    </x:row>
    <x:row r="166">
      <x:c r="A166" s="80" t="n">
        <x:v>162</x:v>
      </x:c>
      <x:c r="B166" s="81" t="str">
        <x:v>ROOMS-003</x:v>
      </x:c>
      <x:c r="C166" s="73" t="str">
        <x:v>7.9 객실 유형 및 객실 관리</x:v>
      </x:c>
      <x:c r="D166" s="81" t="str">
        <x:v>P0</x:v>
      </x:c>
      <x:c r="E166" s="73" t="str">
        <x:v>rooms</x:v>
      </x:c>
      <x:c r="F166" s="73" t="str">
        <x:v>dashboard/operations/rooms.html</x:v>
      </x:c>
      <x:c r="G166" s="73" t="str">
        <x:v>객실 운영 상태 변경</x:v>
      </x:c>
      <x:c r="H166" s="73" t="str">
        <x:v>공실/점검/판매중지 정책과 예약 차단 반영</x:v>
      </x:c>
      <x:c r="I166" s="81" t="str">
        <x:v>PASS</x:v>
      </x:c>
      <x:c r="J166" s="81" t="str">
        <x:v>성공</x:v>
      </x:c>
      <x:c r="K166" s="81" t="str">
        <x:v>수정 없음</x:v>
      </x:c>
      <x:c r="L166" s="73" t="str"/>
      <x:c r="M166" s="73" t="str"/>
      <x:c r="N166" s="73" t="str"/>
      <x:c r="O166" s="73" t="str">
        <x:v>기대 결과와 일치</x:v>
      </x:c>
      <x:c r="P166" s="73" t="str">
        <x:v>02-smoke-interactions.log, 03-smoke-inputs-ko.log, 04-smoke-inputs-en.log, 14-storage-writes.log</x:v>
      </x:c>
    </x:row>
    <x:row r="167">
      <x:c r="A167" s="80" t="n">
        <x:v>163</x:v>
      </x:c>
      <x:c r="B167" s="81" t="str">
        <x:v>ROOMS-004</x:v>
      </x:c>
      <x:c r="C167" s="73" t="str">
        <x:v>7.9 객실 유형 및 객실 관리</x:v>
      </x:c>
      <x:c r="D167" s="81" t="str">
        <x:v>P1</x:v>
      </x:c>
      <x:c r="E167" s="73" t="str">
        <x:v>rooms</x:v>
      </x:c>
      <x:c r="F167" s="73" t="str">
        <x:v>dashboard/operations/rooms.html</x:v>
      </x:c>
      <x:c r="G167" s="73" t="str">
        <x:v>건물/층/상태 필터</x:v>
      </x:c>
      <x:c r="H167" s="73" t="str">
        <x:v>카운트와 목록 일치</x:v>
      </x:c>
      <x:c r="I167" s="81" t="str">
        <x:v>PASS</x:v>
      </x:c>
      <x:c r="J167" s="81" t="str">
        <x:v>성공</x:v>
      </x:c>
      <x:c r="K167" s="81" t="str">
        <x:v>수정 없음</x:v>
      </x:c>
      <x:c r="L167" s="73" t="str"/>
      <x:c r="M167" s="73" t="str"/>
      <x:c r="N167" s="73" t="str"/>
      <x:c r="O167" s="73" t="str">
        <x:v>기대 결과와 일치</x:v>
      </x:c>
      <x:c r="P167" s="73" t="str">
        <x:v>01-smoke-all-pages.log, 02-smoke-interactions.log, 03-smoke-inputs-ko.log, 04-smoke-inputs-en.log</x:v>
      </x:c>
    </x:row>
    <x:row r="168">
      <x:c r="A168" s="80" t="n">
        <x:v>164</x:v>
      </x:c>
      <x:c r="B168" s="81" t="str">
        <x:v>ROOMS-005</x:v>
      </x:c>
      <x:c r="C168" s="73" t="str">
        <x:v>7.9 객실 유형 및 객실 관리</x:v>
      </x:c>
      <x:c r="D168" s="81" t="str">
        <x:v>P1</x:v>
      </x:c>
      <x:c r="E168" s="73" t="str">
        <x:v>rooms</x:v>
      </x:c>
      <x:c r="F168" s="73" t="str">
        <x:v>dashboard/operations/rooms.html</x:v>
      </x:c>
      <x:c r="G168" s="73" t="str">
        <x:v>모바일 카드 상세</x:v>
      </x:c>
      <x:c r="H168" s="73" t="str">
        <x:v>터치 시 정확한 객실 팝업 열림</x:v>
      </x:c>
      <x:c r="I168" s="81" t="str">
        <x:v>PASS</x:v>
      </x:c>
      <x:c r="J168" s="81" t="str">
        <x:v>성공</x:v>
      </x:c>
      <x:c r="K168" s="81" t="str">
        <x:v>수정 없음</x:v>
      </x:c>
      <x:c r="L168" s="73" t="str"/>
      <x:c r="M168" s="73" t="str"/>
      <x:c r="N168" s="73" t="str"/>
      <x:c r="O168" s="73" t="str">
        <x:v>기대 결과와 일치</x:v>
      </x:c>
      <x:c r="P168" s="73" t="str">
        <x:v>01-smoke-all-pages.log, 02-smoke-interactions.log, 03-smoke-inputs-ko.log, 04-smoke-inputs-en.log</x:v>
      </x:c>
    </x:row>
    <x:row r="169">
      <x:c r="A169" s="80" t="n">
        <x:v>165</x:v>
      </x:c>
      <x:c r="B169" s="81" t="str">
        <x:v>RATE-001</x:v>
      </x:c>
      <x:c r="C169" s="73" t="str">
        <x:v>7.10 요금 캘린더</x:v>
      </x:c>
      <x:c r="D169" s="81" t="str">
        <x:v>P0</x:v>
      </x:c>
      <x:c r="E169" s="73" t="str"/>
      <x:c r="F169" s="73" t="str">
        <x:v>dashboard/operations/rates.html</x:v>
      </x:c>
      <x:c r="G169" s="73" t="str">
        <x:v>월 이전/다음 이동</x:v>
      </x:c>
      <x:c r="H169" s="73" t="str">
        <x:v>선택 월과 요금 셀 데이터 일치</x:v>
      </x:c>
      <x:c r="I169" s="81" t="str">
        <x:v>PASS</x:v>
      </x:c>
      <x:c r="J169" s="81" t="str">
        <x:v>성공</x:v>
      </x:c>
      <x:c r="K169" s="81" t="str">
        <x:v>수정 없음</x:v>
      </x:c>
      <x:c r="L169" s="73" t="str"/>
      <x:c r="M169" s="73" t="str"/>
      <x:c r="N169" s="73" t="str"/>
      <x:c r="O169" s="73" t="str">
        <x:v>기대 결과와 일치</x:v>
      </x:c>
      <x:c r="P169" s="73" t="str">
        <x:v>02-smoke-interactions.log, 03-smoke-inputs-ko.log, 04-smoke-inputs-en.log, 14-storage-writes.log</x:v>
      </x:c>
    </x:row>
    <x:row r="170">
      <x:c r="A170" s="80" t="n">
        <x:v>166</x:v>
      </x:c>
      <x:c r="B170" s="81" t="str">
        <x:v>RATE-002</x:v>
      </x:c>
      <x:c r="C170" s="73" t="str">
        <x:v>7.10 요금 캘린더</x:v>
      </x:c>
      <x:c r="D170" s="81" t="str">
        <x:v>P0</x:v>
      </x:c>
      <x:c r="E170" s="73" t="str"/>
      <x:c r="F170" s="73" t="str">
        <x:v>dashboard/operations/rates.html</x:v>
      </x:c>
      <x:c r="G170" s="73" t="str">
        <x:v>객실 유형/요일 기본요금 수정</x:v>
      </x:c>
      <x:c r="H170" s="73" t="str">
        <x:v>저장 후 재진입 및 예약 요금 계산 반영</x:v>
      </x:c>
      <x:c r="I170" s="81" t="str">
        <x:v>PASS</x:v>
      </x:c>
      <x:c r="J170" s="81" t="str">
        <x:v>성공</x:v>
      </x:c>
      <x:c r="K170" s="81" t="str">
        <x:v>수정 없음</x:v>
      </x:c>
      <x:c r="L170" s="73" t="str"/>
      <x:c r="M170" s="73" t="str"/>
      <x:c r="N170" s="73" t="str"/>
      <x:c r="O170" s="73" t="str">
        <x:v>기대 결과와 일치</x:v>
      </x:c>
      <x:c r="P170" s="73" t="str">
        <x:v>02-smoke-interactions.log, 03-smoke-inputs-ko.log, 04-smoke-inputs-en.log, 14-storage-writes.log</x:v>
      </x:c>
    </x:row>
    <x:row r="171">
      <x:c r="A171" s="80" t="n">
        <x:v>167</x:v>
      </x:c>
      <x:c r="B171" s="81" t="str">
        <x:v>RATE-003</x:v>
      </x:c>
      <x:c r="C171" s="73" t="str">
        <x:v>7.10 요금 캘린더</x:v>
      </x:c>
      <x:c r="D171" s="81" t="str">
        <x:v>P0</x:v>
      </x:c>
      <x:c r="E171" s="73" t="str"/>
      <x:c r="F171" s="73" t="str">
        <x:v>dashboard/operations/rates.html</x:v>
      </x:c>
      <x:c r="G171" s="73" t="str">
        <x:v>특정 날짜 요금 수정</x:v>
      </x:c>
      <x:c r="H171" s="73" t="str">
        <x:v>해당 날짜만 override되고 다른 날짜 유지</x:v>
      </x:c>
      <x:c r="I171" s="81" t="str">
        <x:v>PASS</x:v>
      </x:c>
      <x:c r="J171" s="81" t="str">
        <x:v>성공</x:v>
      </x:c>
      <x:c r="K171" s="81" t="str">
        <x:v>수정 없음</x:v>
      </x:c>
      <x:c r="L171" s="73" t="str"/>
      <x:c r="M171" s="73" t="str"/>
      <x:c r="N171" s="73" t="str"/>
      <x:c r="O171" s="73" t="str">
        <x:v>기대 결과와 일치</x:v>
      </x:c>
      <x:c r="P171" s="73" t="str">
        <x:v>02-smoke-interactions.log, 03-smoke-inputs-ko.log, 04-smoke-inputs-en.log, 14-storage-writes.log</x:v>
      </x:c>
    </x:row>
    <x:row r="172">
      <x:c r="A172" s="80" t="n">
        <x:v>168</x:v>
      </x:c>
      <x:c r="B172" s="81" t="str">
        <x:v>RATE-004</x:v>
      </x:c>
      <x:c r="C172" s="73" t="str">
        <x:v>7.10 요금 캘린더</x:v>
      </x:c>
      <x:c r="D172" s="81" t="str">
        <x:v>P0</x:v>
      </x:c>
      <x:c r="E172" s="73" t="str"/>
      <x:c r="F172" s="73" t="str">
        <x:v>dashboard/operations/rates.html</x:v>
      </x:c>
      <x:c r="G172" s="73" t="str">
        <x:v>기간 일괄 요금 설정</x:v>
      </x:c>
      <x:c r="H172" s="73" t="str">
        <x:v>시작/종료 포함 범위만 갱신</x:v>
      </x:c>
      <x:c r="I172" s="81" t="str">
        <x:v>PASS</x:v>
      </x:c>
      <x:c r="J172" s="81" t="str">
        <x:v>성공</x:v>
      </x:c>
      <x:c r="K172" s="81" t="str">
        <x:v>수정 없음</x:v>
      </x:c>
      <x:c r="L172" s="73" t="str"/>
      <x:c r="M172" s="73" t="str"/>
      <x:c r="N172" s="73" t="str"/>
      <x:c r="O172" s="73" t="str">
        <x:v>기대 결과와 일치</x:v>
      </x:c>
      <x:c r="P172" s="73" t="str">
        <x:v>02-smoke-interactions.log, 03-smoke-inputs-ko.log, 04-smoke-inputs-en.log, 14-storage-writes.log</x:v>
      </x:c>
    </x:row>
    <x:row r="173">
      <x:c r="A173" s="80" t="n">
        <x:v>169</x:v>
      </x:c>
      <x:c r="B173" s="81" t="str">
        <x:v>RATE-005</x:v>
      </x:c>
      <x:c r="C173" s="73" t="str">
        <x:v>7.10 요금 캘린더</x:v>
      </x:c>
      <x:c r="D173" s="81" t="str">
        <x:v>P0</x:v>
      </x:c>
      <x:c r="E173" s="73" t="str"/>
      <x:c r="F173" s="73" t="str">
        <x:v>dashboard/operations/rates.html</x:v>
      </x:c>
      <x:c r="G173" s="73" t="str">
        <x:v>잘못된 금액/기간</x:v>
      </x:c>
      <x:c r="H173" s="73" t="str">
        <x:v>음수, 빈 값, 역전 기간 저장 차단</x:v>
      </x:c>
      <x:c r="I173" s="81" t="str">
        <x:v>PASS</x:v>
      </x:c>
      <x:c r="J173" s="81" t="str">
        <x:v>성공</x:v>
      </x:c>
      <x:c r="K173" s="81" t="str">
        <x:v>수정 없음</x:v>
      </x:c>
      <x:c r="L173" s="73" t="str"/>
      <x:c r="M173" s="73" t="str"/>
      <x:c r="N173" s="73" t="str"/>
      <x:c r="O173" s="73" t="str">
        <x:v>기대 결과와 일치</x:v>
      </x:c>
      <x:c r="P173" s="73" t="str">
        <x:v>02-smoke-interactions.log, 03-smoke-inputs-ko.log, 04-smoke-inputs-en.log, 14-storage-writes.log</x:v>
      </x:c>
    </x:row>
    <x:row r="174">
      <x:c r="A174" s="80" t="n">
        <x:v>170</x:v>
      </x:c>
      <x:c r="B174" s="81" t="str">
        <x:v>RATE-006</x:v>
      </x:c>
      <x:c r="C174" s="73" t="str">
        <x:v>7.10 요금 캘린더</x:v>
      </x:c>
      <x:c r="D174" s="81" t="str">
        <x:v>P1</x:v>
      </x:c>
      <x:c r="E174" s="73" t="str"/>
      <x:c r="F174" s="73" t="str">
        <x:v>dashboard/operations/rates.html</x:v>
      </x:c>
      <x:c r="G174" s="73" t="str">
        <x:v>주말/성수기/프로모션 우선순위</x:v>
      </x:c>
      <x:c r="H174" s="73" t="str">
        <x:v>적용 규칙과 최종 표시 요금 일치</x:v>
      </x:c>
      <x:c r="I174" s="81" t="str">
        <x:v>PASS</x:v>
      </x:c>
      <x:c r="J174" s="81" t="str">
        <x:v>성공</x:v>
      </x:c>
      <x:c r="K174" s="81" t="str">
        <x:v>수정 없음</x:v>
      </x:c>
      <x:c r="L174" s="73" t="str"/>
      <x:c r="M174" s="73" t="str"/>
      <x:c r="N174" s="73" t="str"/>
      <x:c r="O174" s="73" t="str">
        <x:v>기대 결과와 일치</x:v>
      </x:c>
      <x:c r="P174" s="73" t="str">
        <x:v>02-smoke-interactions.log, 03-smoke-inputs-ko.log, 04-smoke-inputs-en.log, 14-storage-writes.log</x:v>
      </x:c>
    </x:row>
    <x:row r="175">
      <x:c r="A175" s="80" t="n">
        <x:v>171</x:v>
      </x:c>
      <x:c r="B175" s="81" t="str">
        <x:v>RATE-007</x:v>
      </x:c>
      <x:c r="C175" s="73" t="str">
        <x:v>7.10 요금 캘린더</x:v>
      </x:c>
      <x:c r="D175" s="81" t="str">
        <x:v>P1</x:v>
      </x:c>
      <x:c r="E175" s="73" t="str"/>
      <x:c r="F175" s="73" t="str">
        <x:v>dashboard/operations/rates.html</x:v>
      </x:c>
      <x:c r="G175" s="73" t="str">
        <x:v>저장 취소/초기화</x:v>
      </x:c>
      <x:c r="H175" s="73" t="str">
        <x:v>취소 시 원본 유지, 초기화 정책대로 복원</x:v>
      </x:c>
      <x:c r="I175" s="81" t="str">
        <x:v>PASS</x:v>
      </x:c>
      <x:c r="J175" s="81" t="str">
        <x:v>성공</x:v>
      </x:c>
      <x:c r="K175" s="81" t="str">
        <x:v>수정 없음</x:v>
      </x:c>
      <x:c r="L175" s="73" t="str"/>
      <x:c r="M175" s="73" t="str"/>
      <x:c r="N175" s="73" t="str"/>
      <x:c r="O175" s="73" t="str">
        <x:v>기대 결과와 일치</x:v>
      </x:c>
      <x:c r="P175" s="73" t="str">
        <x:v>02-smoke-interactions.log, 03-smoke-inputs-ko.log, 04-smoke-inputs-en.log, 14-storage-writes.log</x:v>
      </x:c>
    </x:row>
    <x:row r="176">
      <x:c r="A176" s="80" t="n">
        <x:v>172</x:v>
      </x:c>
      <x:c r="B176" s="81" t="str">
        <x:v>RATE-008</x:v>
      </x:c>
      <x:c r="C176" s="73" t="str">
        <x:v>7.10 요금 캘린더</x:v>
      </x:c>
      <x:c r="D176" s="81" t="str">
        <x:v>P1</x:v>
      </x:c>
      <x:c r="E176" s="73" t="str"/>
      <x:c r="F176" s="73" t="str">
        <x:v>dashboard/operations/rates.html</x:v>
      </x:c>
      <x:c r="G176" s="73" t="str">
        <x:v>예약 팝업과 요금 비교</x:v>
      </x:c>
      <x:c r="H176" s="73" t="str">
        <x:v>같은 객실/날짜의 계산 금액 일치</x:v>
      </x:c>
      <x:c r="I176" s="81" t="str">
        <x:v>PASS</x:v>
      </x:c>
      <x:c r="J176" s="81" t="str">
        <x:v>성공</x:v>
      </x:c>
      <x:c r="K176" s="81" t="str">
        <x:v>수정 없음</x:v>
      </x:c>
      <x:c r="L176" s="73" t="str"/>
      <x:c r="M176" s="73" t="str"/>
      <x:c r="N176" s="73" t="str"/>
      <x:c r="O176" s="73" t="str">
        <x:v>기대 결과와 일치</x:v>
      </x:c>
      <x:c r="P176" s="73" t="str">
        <x:v>01-smoke-all-pages.log, 02-smoke-interactions.log, 03-smoke-inputs-ko.log, 04-smoke-inputs-en.log</x:v>
      </x:c>
    </x:row>
    <x:row r="177">
      <x:c r="A177" s="80" t="n">
        <x:v>173</x:v>
      </x:c>
      <x:c r="B177" s="81" t="str">
        <x:v>RATE-009</x:v>
      </x:c>
      <x:c r="C177" s="73" t="str">
        <x:v>7.10 요금 캘린더</x:v>
      </x:c>
      <x:c r="D177" s="81" t="str">
        <x:v>P1</x:v>
      </x:c>
      <x:c r="E177" s="73" t="str"/>
      <x:c r="F177" s="73" t="str">
        <x:v>dashboard/operations/rates.html</x:v>
      </x:c>
      <x:c r="G177" s="73" t="str">
        <x:v>EN 날짜/월 표시</x:v>
      </x:c>
      <x:c r="H177" s="73" t="str">
        <x:v>한국어 월/요일 문자열 없음</x:v>
      </x:c>
      <x:c r="I177" s="81" t="str">
        <x:v>PASS</x:v>
      </x:c>
      <x:c r="J177" s="81" t="str">
        <x:v>성공</x:v>
      </x:c>
      <x:c r="K177" s="81" t="str">
        <x:v>수정 없음</x:v>
      </x:c>
      <x:c r="L177" s="73" t="str"/>
      <x:c r="M177" s="73" t="str"/>
      <x:c r="N177" s="73" t="str"/>
      <x:c r="O177" s="73" t="str">
        <x:v>기대 결과와 일치</x:v>
      </x:c>
      <x:c r="P177" s="73" t="str">
        <x:v>01-smoke-all-pages.log, 02-smoke-interactions.log, 03-smoke-inputs-ko.log, 04-smoke-inputs-en.log</x:v>
      </x:c>
    </x:row>
    <x:row r="178">
      <x:c r="A178" s="80" t="n">
        <x:v>174</x:v>
      </x:c>
      <x:c r="B178" s="81" t="str">
        <x:v>RATE-010</x:v>
      </x:c>
      <x:c r="C178" s="73" t="str">
        <x:v>7.10 요금 캘린더</x:v>
      </x:c>
      <x:c r="D178" s="81" t="str">
        <x:v>P1</x:v>
      </x:c>
      <x:c r="E178" s="73" t="str"/>
      <x:c r="F178" s="73" t="str">
        <x:v>dashboard/operations/rates.html</x:v>
      </x:c>
      <x:c r="G178" s="73" t="str">
        <x:v>태블릿 캘린더</x:v>
      </x:c>
      <x:c r="H178" s="73" t="str">
        <x:v>날짜/요금 셀과 헤더 정렬, 입력 가능</x:v>
      </x:c>
      <x:c r="I178" s="81" t="str">
        <x:v>PASS</x:v>
      </x:c>
      <x:c r="J178" s="81" t="str">
        <x:v>성공</x:v>
      </x:c>
      <x:c r="K178" s="81" t="str">
        <x:v>수정 없음</x:v>
      </x:c>
      <x:c r="L178" s="73" t="str"/>
      <x:c r="M178" s="73" t="str"/>
      <x:c r="N178" s="73" t="str"/>
      <x:c r="O178" s="73" t="str">
        <x:v>기대 결과와 일치</x:v>
      </x:c>
      <x:c r="P178" s="73" t="str">
        <x:v>01-smoke-all-pages.log, 02-smoke-interactions.log, 03-smoke-inputs-ko.log, 04-smoke-inputs-en.log</x:v>
      </x:c>
    </x:row>
    <x:row r="179">
      <x:c r="A179" s="80" t="n">
        <x:v>175</x:v>
      </x:c>
      <x:c r="B179" s="81" t="str">
        <x:v>HK-001</x:v>
      </x:c>
      <x:c r="C179" s="73" t="str">
        <x:v>7.11 하우스키핑</x:v>
      </x:c>
      <x:c r="D179" s="81" t="str">
        <x:v>P0</x:v>
      </x:c>
      <x:c r="E179" s="73" t="str"/>
      <x:c r="F179" s="73" t="str">
        <x:v>dashboard/operations/housekeeping.html</x:v>
      </x:c>
      <x:c r="G179" s="73" t="str">
        <x:v>청소 필요 객실 작업 등록</x:v>
      </x:c>
      <x:c r="H179" s="73" t="str">
        <x:v>담당자/우선순위/메모 저장</x:v>
      </x:c>
      <x:c r="I179" s="81" t="str">
        <x:v>PASS</x:v>
      </x:c>
      <x:c r="J179" s="81" t="str">
        <x:v>성공</x:v>
      </x:c>
      <x:c r="K179" s="81" t="str">
        <x:v>수정 없음</x:v>
      </x:c>
      <x:c r="L179" s="73" t="str"/>
      <x:c r="M179" s="73" t="str"/>
      <x:c r="N179" s="73" t="str"/>
      <x:c r="O179" s="73" t="str">
        <x:v>기대 결과와 일치</x:v>
      </x:c>
      <x:c r="P179" s="73" t="str">
        <x:v>outputs/full-plan-20260719/105-functional-operations-extended.json</x:v>
      </x:c>
    </x:row>
    <x:row r="180">
      <x:c r="A180" s="80" t="n">
        <x:v>176</x:v>
      </x:c>
      <x:c r="B180" s="81" t="str">
        <x:v>HK-002</x:v>
      </x:c>
      <x:c r="C180" s="73" t="str">
        <x:v>7.11 하우스키핑</x:v>
      </x:c>
      <x:c r="D180" s="81" t="str">
        <x:v>P0</x:v>
      </x:c>
      <x:c r="E180" s="73" t="str"/>
      <x:c r="F180" s="73" t="str">
        <x:v>dashboard/operations/housekeeping.html</x:v>
      </x:c>
      <x:c r="G180" s="73" t="str">
        <x:v>작업 시작</x:v>
      </x:c>
      <x:c r="H180" s="73" t="str">
        <x:v>상태가 진행 중으로 변경되고 예약 현황 반영</x:v>
      </x:c>
      <x:c r="I180" s="81" t="str">
        <x:v>PASS</x:v>
      </x:c>
      <x:c r="J180" s="81" t="str">
        <x:v>성공</x:v>
      </x:c>
      <x:c r="K180" s="81" t="str">
        <x:v>수정 없음</x:v>
      </x:c>
      <x:c r="L180" s="73" t="str"/>
      <x:c r="M180" s="73" t="str"/>
      <x:c r="N180" s="73" t="str"/>
      <x:c r="O180" s="73" t="str">
        <x:v>기대 결과와 일치</x:v>
      </x:c>
      <x:c r="P180" s="73" t="str">
        <x:v>outputs/full-plan-20260719/105-functional-operations-extended.json</x:v>
      </x:c>
    </x:row>
    <x:row r="181">
      <x:c r="A181" s="80" t="n">
        <x:v>177</x:v>
      </x:c>
      <x:c r="B181" s="81" t="str">
        <x:v>HK-003</x:v>
      </x:c>
      <x:c r="C181" s="73" t="str">
        <x:v>7.11 하우스키핑</x:v>
      </x:c>
      <x:c r="D181" s="81" t="str">
        <x:v>P0</x:v>
      </x:c>
      <x:c r="E181" s="73" t="str"/>
      <x:c r="F181" s="73" t="str">
        <x:v>dashboard/operations/housekeeping.html</x:v>
      </x:c>
      <x:c r="G181" s="73" t="str">
        <x:v>청소 완료</x:v>
      </x:c>
      <x:c r="H181" s="73" t="str">
        <x:v>객실이 청소 완료/체크인 가능으로 전환</x:v>
      </x:c>
      <x:c r="I181" s="81" t="str">
        <x:v>PASS</x:v>
      </x:c>
      <x:c r="J181" s="81" t="str">
        <x:v>성공</x:v>
      </x:c>
      <x:c r="K181" s="81" t="str">
        <x:v>수정 없음</x:v>
      </x:c>
      <x:c r="L181" s="73" t="str"/>
      <x:c r="M181" s="73" t="str"/>
      <x:c r="N181" s="73" t="str"/>
      <x:c r="O181" s="73" t="str">
        <x:v>기대 결과와 일치</x:v>
      </x:c>
      <x:c r="P181" s="73" t="str">
        <x:v>outputs/full-plan-20260719/105-functional-operations-extended.json</x:v>
      </x:c>
    </x:row>
    <x:row r="182">
      <x:c r="A182" s="80" t="n">
        <x:v>178</x:v>
      </x:c>
      <x:c r="B182" s="81" t="str">
        <x:v>HK-004</x:v>
      </x:c>
      <x:c r="C182" s="73" t="str">
        <x:v>7.11 하우스키핑</x:v>
      </x:c>
      <x:c r="D182" s="81" t="str">
        <x:v>P0</x:v>
      </x:c>
      <x:c r="E182" s="73" t="str"/>
      <x:c r="F182" s="73" t="str">
        <x:v>dashboard/operations/housekeeping.html</x:v>
      </x:c>
      <x:c r="G182" s="73" t="str">
        <x:v>완료 취소/재개</x:v>
      </x:c>
      <x:c r="H182" s="73" t="str">
        <x:v>권한/로그 정책에 따라 상태 복원</x:v>
      </x:c>
      <x:c r="I182" s="81" t="str">
        <x:v>PASS</x:v>
      </x:c>
      <x:c r="J182" s="81" t="str">
        <x:v>성공</x:v>
      </x:c>
      <x:c r="K182" s="81" t="str">
        <x:v>수정 완료</x:v>
      </x:c>
      <x:c r="L182" s="73" t="str">
        <x:v>하우스키핑 미착수 작업 수정·삭제, 완료 작업 재오픈, 진행·완료 삭제 차단, 객실 status/frontStatus/housekeepingStatus 동기화와 감사로그 검증을 보완</x:v>
      </x:c>
      <x:c r="M182" s="73" t="str"/>
      <x:c r="N182" s="73" t="str"/>
      <x:c r="O182" s="73" t="str">
        <x:v>수정 후 동일 케이스를 재실행하여 기대 결과와 일치함</x:v>
      </x:c>
      <x:c r="P182" s="73" t="str">
        <x:v>outputs/full-plan-20260719/105-functional-operations-extended.json</x:v>
      </x:c>
    </x:row>
    <x:row r="183">
      <x:c r="A183" s="80" t="n">
        <x:v>179</x:v>
      </x:c>
      <x:c r="B183" s="81" t="str">
        <x:v>HK-005</x:v>
      </x:c>
      <x:c r="C183" s="73" t="str">
        <x:v>7.11 하우스키핑</x:v>
      </x:c>
      <x:c r="D183" s="81" t="str">
        <x:v>P0</x:v>
      </x:c>
      <x:c r="E183" s="73" t="str"/>
      <x:c r="F183" s="73" t="str">
        <x:v>dashboard/operations/housekeeping.html</x:v>
      </x:c>
      <x:c r="G183" s="73" t="str">
        <x:v>작업 수정</x:v>
      </x:c>
      <x:c r="H183" s="73" t="str">
        <x:v>담당자, 우선순위, 메모 재진입 유지</x:v>
      </x:c>
      <x:c r="I183" s="81" t="str">
        <x:v>PASS</x:v>
      </x:c>
      <x:c r="J183" s="81" t="str">
        <x:v>성공</x:v>
      </x:c>
      <x:c r="K183" s="81" t="str">
        <x:v>수정 완료</x:v>
      </x:c>
      <x:c r="L183" s="73" t="str">
        <x:v>하우스키핑 미착수 작업 수정·삭제, 완료 작업 재오픈, 진행·완료 삭제 차단, 객실 status/frontStatus/housekeepingStatus 동기화와 감사로그 검증을 보완</x:v>
      </x:c>
      <x:c r="M183" s="73" t="str"/>
      <x:c r="N183" s="73" t="str"/>
      <x:c r="O183" s="73" t="str">
        <x:v>수정 후 동일 케이스를 재실행하여 기대 결과와 일치함</x:v>
      </x:c>
      <x:c r="P183" s="73" t="str">
        <x:v>outputs/full-plan-20260719/105-functional-operations-extended.json</x:v>
      </x:c>
    </x:row>
    <x:row r="184">
      <x:c r="A184" s="80" t="n">
        <x:v>180</x:v>
      </x:c>
      <x:c r="B184" s="81" t="str">
        <x:v>HK-006</x:v>
      </x:c>
      <x:c r="C184" s="73" t="str">
        <x:v>7.11 하우스키핑</x:v>
      </x:c>
      <x:c r="D184" s="81" t="str">
        <x:v>P0</x:v>
      </x:c>
      <x:c r="E184" s="73" t="str"/>
      <x:c r="F184" s="73" t="str">
        <x:v>dashboard/operations/housekeeping.html</x:v>
      </x:c>
      <x:c r="G184" s="73" t="str">
        <x:v>작업 삭제</x:v>
      </x:c>
      <x:c r="H184" s="73" t="str">
        <x:v>진행/완료 상태에 따른 제한과 확인 정상</x:v>
      </x:c>
      <x:c r="I184" s="81" t="str">
        <x:v>PASS</x:v>
      </x:c>
      <x:c r="J184" s="81" t="str">
        <x:v>성공</x:v>
      </x:c>
      <x:c r="K184" s="81" t="str">
        <x:v>수정 완료</x:v>
      </x:c>
      <x:c r="L184" s="73" t="str">
        <x:v>하우스키핑 미착수 작업 수정·삭제, 완료 작업 재오픈, 진행·완료 삭제 차단, 객실 status/frontStatus/housekeepingStatus 동기화와 감사로그 검증을 보완</x:v>
      </x:c>
      <x:c r="M184" s="73" t="str"/>
      <x:c r="N184" s="73" t="str"/>
      <x:c r="O184" s="73" t="str">
        <x:v>수정 후 동일 케이스를 재실행하여 기대 결과와 일치함</x:v>
      </x:c>
      <x:c r="P184" s="73" t="str">
        <x:v>outputs/full-plan-20260719/105-functional-operations-extended.json</x:v>
      </x:c>
    </x:row>
    <x:row r="185">
      <x:c r="A185" s="80" t="n">
        <x:v>181</x:v>
      </x:c>
      <x:c r="B185" s="81" t="str">
        <x:v>HK-007</x:v>
      </x:c>
      <x:c r="C185" s="73" t="str">
        <x:v>7.11 하우스키핑</x:v>
      </x:c>
      <x:c r="D185" s="81" t="str">
        <x:v>P1</x:v>
      </x:c>
      <x:c r="E185" s="73" t="str"/>
      <x:c r="F185" s="73" t="str">
        <x:v>dashboard/operations/housekeeping.html</x:v>
      </x:c>
      <x:c r="G185" s="73" t="str">
        <x:v>Kanban/Table 전환</x:v>
      </x:c>
      <x:c r="H185" s="73" t="str">
        <x:v>같은 작업과 상태/카운트 표시</x:v>
      </x:c>
      <x:c r="I185" s="81" t="str">
        <x:v>PASS</x:v>
      </x:c>
      <x:c r="J185" s="81" t="str">
        <x:v>성공</x:v>
      </x:c>
      <x:c r="K185" s="81" t="str">
        <x:v>수정 없음</x:v>
      </x:c>
      <x:c r="L185" s="73" t="str"/>
      <x:c r="M185" s="73" t="str"/>
      <x:c r="N185" s="73" t="str"/>
      <x:c r="O185" s="73" t="str">
        <x:v>기대 결과와 일치</x:v>
      </x:c>
      <x:c r="P185" s="73" t="str">
        <x:v>outputs/full-plan-20260719/105-functional-operations-extended.json</x:v>
      </x:c>
    </x:row>
    <x:row r="186">
      <x:c r="A186" s="80" t="n">
        <x:v>182</x:v>
      </x:c>
      <x:c r="B186" s="81" t="str">
        <x:v>HK-008</x:v>
      </x:c>
      <x:c r="C186" s="73" t="str">
        <x:v>7.11 하우스키핑</x:v>
      </x:c>
      <x:c r="D186" s="81" t="str">
        <x:v>P1</x:v>
      </x:c>
      <x:c r="E186" s="73" t="str"/>
      <x:c r="F186" s="73" t="str">
        <x:v>dashboard/operations/housekeeping.html</x:v>
      </x:c>
      <x:c r="G186" s="73" t="str">
        <x:v>전체/신규/진행/완료 필터</x:v>
      </x:c>
      <x:c r="H186" s="73" t="str">
        <x:v>실제 작업 수와 카운트 일치</x:v>
      </x:c>
      <x:c r="I186" s="81" t="str">
        <x:v>PASS</x:v>
      </x:c>
      <x:c r="J186" s="81" t="str">
        <x:v>성공</x:v>
      </x:c>
      <x:c r="K186" s="81" t="str">
        <x:v>수정 완료</x:v>
      </x:c>
      <x:c r="L186" s="73" t="str">
        <x:v>하우스키핑 미착수 작업 수정·삭제, 완료 작업 재오픈, 진행·완료 삭제 차단, 객실 status/frontStatus/housekeepingStatus 동기화와 감사로그 검증을 보완</x:v>
      </x:c>
      <x:c r="M186" s="73" t="str"/>
      <x:c r="N186" s="73" t="str"/>
      <x:c r="O186" s="73" t="str">
        <x:v>수정 후 동일 케이스를 재실행하여 기대 결과와 일치함</x:v>
      </x:c>
      <x:c r="P186" s="73" t="str">
        <x:v>outputs/full-plan-20260719/105-functional-operations-extended.json</x:v>
      </x:c>
    </x:row>
    <x:row r="187">
      <x:c r="A187" s="80" t="n">
        <x:v>183</x:v>
      </x:c>
      <x:c r="B187" s="81" t="str">
        <x:v>HK-009</x:v>
      </x:c>
      <x:c r="C187" s="73" t="str">
        <x:v>7.11 하우스키핑</x:v>
      </x:c>
      <x:c r="D187" s="81" t="str">
        <x:v>P1</x:v>
      </x:c>
      <x:c r="E187" s="73" t="str"/>
      <x:c r="F187" s="73" t="str">
        <x:v>dashboard/operations/housekeeping.html</x:v>
      </x:c>
      <x:c r="G187" s="73" t="str">
        <x:v>우선순위 select</x:v>
      </x:c>
      <x:c r="H187" s="73" t="str">
        <x:v>EN/KO option과 정렬 정확, 모바일 떨림 없음</x:v>
      </x:c>
      <x:c r="I187" s="81" t="str">
        <x:v>PASS</x:v>
      </x:c>
      <x:c r="J187" s="81" t="str">
        <x:v>성공</x:v>
      </x:c>
      <x:c r="K187" s="81" t="str">
        <x:v>수정 완료</x:v>
      </x:c>
      <x:c r="L187" s="73" t="str">
        <x:v>하우스키핑 미착수 작업 수정·삭제, 완료 작업 재오픈, 진행·완료 삭제 차단, 객실 status/frontStatus/housekeepingStatus 동기화와 감사로그 검증을 보완</x:v>
      </x:c>
      <x:c r="M187" s="73" t="str"/>
      <x:c r="N187" s="73" t="str"/>
      <x:c r="O187" s="73" t="str">
        <x:v>수정 후 동일 케이스를 재실행하여 기대 결과와 일치함</x:v>
      </x:c>
      <x:c r="P187" s="73" t="str">
        <x:v>outputs/full-plan-20260719/105-functional-operations-extended.json</x:v>
      </x:c>
    </x:row>
    <x:row r="188">
      <x:c r="A188" s="80" t="n">
        <x:v>184</x:v>
      </x:c>
      <x:c r="B188" s="81" t="str">
        <x:v>HK-010</x:v>
      </x:c>
      <x:c r="C188" s="73" t="str">
        <x:v>7.11 하우스키핑</x:v>
      </x:c>
      <x:c r="D188" s="81" t="str">
        <x:v>P1</x:v>
      </x:c>
      <x:c r="E188" s="73" t="str"/>
      <x:c r="F188" s="73" t="str">
        <x:v>dashboard/operations/housekeeping.html</x:v>
      </x:c>
      <x:c r="G188" s="73" t="str">
        <x:v>긴 객실/메모</x:v>
      </x:c>
      <x:c r="H188" s="73" t="str">
        <x:v>카드와 테이블 넘침 없음</x:v>
      </x:c>
      <x:c r="I188" s="81" t="str">
        <x:v>PASS</x:v>
      </x:c>
      <x:c r="J188" s="81" t="str">
        <x:v>성공</x:v>
      </x:c>
      <x:c r="K188" s="81" t="str">
        <x:v>수정 없음</x:v>
      </x:c>
      <x:c r="L188" s="73" t="str"/>
      <x:c r="M188" s="73" t="str"/>
      <x:c r="N188" s="73" t="str"/>
      <x:c r="O188" s="73" t="str">
        <x:v>기대 결과와 일치</x:v>
      </x:c>
      <x:c r="P188" s="73" t="str">
        <x:v>outputs/full-plan-20260719/105-functional-operations-extended.json</x:v>
      </x:c>
    </x:row>
    <x:row r="189">
      <x:c r="A189" s="80" t="n">
        <x:v>185</x:v>
      </x:c>
      <x:c r="B189" s="81" t="str">
        <x:v>HK-011</x:v>
      </x:c>
      <x:c r="C189" s="73" t="str">
        <x:v>7.11 하우스키핑</x:v>
      </x:c>
      <x:c r="D189" s="81" t="str">
        <x:v>P1</x:v>
      </x:c>
      <x:c r="E189" s="73" t="str"/>
      <x:c r="F189" s="73" t="str">
        <x:v>dashboard/operations/housekeeping.html</x:v>
      </x:c>
      <x:c r="G189" s="73" t="str">
        <x:v>객실 없는 작업</x:v>
      </x:c>
      <x:c r="H189" s="73" t="str">
        <x:v>명확한 validation 후 저장 차단</x:v>
      </x:c>
      <x:c r="I189" s="81" t="str">
        <x:v>PASS</x:v>
      </x:c>
      <x:c r="J189" s="81" t="str">
        <x:v>성공</x:v>
      </x:c>
      <x:c r="K189" s="81" t="str">
        <x:v>수정 없음</x:v>
      </x:c>
      <x:c r="L189" s="73" t="str"/>
      <x:c r="M189" s="73" t="str"/>
      <x:c r="N189" s="73" t="str"/>
      <x:c r="O189" s="73" t="str">
        <x:v>기대 결과와 일치</x:v>
      </x:c>
      <x:c r="P189" s="73" t="str">
        <x:v>outputs/full-plan-20260719/105-functional-operations-extended.json</x:v>
      </x:c>
    </x:row>
    <x:row r="190">
      <x:c r="A190" s="80" t="n">
        <x:v>186</x:v>
      </x:c>
      <x:c r="B190" s="81" t="str">
        <x:v>HK-012</x:v>
      </x:c>
      <x:c r="C190" s="73" t="str">
        <x:v>7.11 하우스키핑</x:v>
      </x:c>
      <x:c r="D190" s="81" t="str">
        <x:v>P1</x:v>
      </x:c>
      <x:c r="E190" s="73" t="str"/>
      <x:c r="F190" s="73" t="str">
        <x:v>dashboard/operations/housekeeping.html</x:v>
      </x:c>
      <x:c r="G190" s="73" t="str">
        <x:v>예약 현황 교차 검증</x:v>
      </x:c>
      <x:c r="H190" s="73" t="str">
        <x:v>청소 select 색상/값/카운트가 동일</x:v>
      </x:c>
      <x:c r="I190" s="81" t="str">
        <x:v>PASS</x:v>
      </x:c>
      <x:c r="J190" s="81" t="str">
        <x:v>성공</x:v>
      </x:c>
      <x:c r="K190" s="81" t="str">
        <x:v>수정 없음</x:v>
      </x:c>
      <x:c r="L190" s="73" t="str"/>
      <x:c r="M190" s="73" t="str"/>
      <x:c r="N190" s="73" t="str"/>
      <x:c r="O190" s="73" t="str">
        <x:v>기대 결과와 일치</x:v>
      </x:c>
      <x:c r="P190" s="73" t="str">
        <x:v>outputs/full-plan-20260719/105-functional-operations-extended.json</x:v>
      </x:c>
    </x:row>
    <x:row r="191">
      <x:c r="A191" s="80" t="n">
        <x:v>187</x:v>
      </x:c>
      <x:c r="B191" s="81" t="str">
        <x:v>MAINT-001</x:v>
      </x:c>
      <x:c r="C191" s="73" t="str">
        <x:v>7.12 시설 보수</x:v>
      </x:c>
      <x:c r="D191" s="81" t="str">
        <x:v>P0</x:v>
      </x:c>
      <x:c r="E191" s="73" t="str"/>
      <x:c r="F191" s="73" t="str">
        <x:v>dashboard/operations/maintenance.html</x:v>
      </x:c>
      <x:c r="G191" s="73" t="str">
        <x:v>보수 요청 등록</x:v>
      </x:c>
      <x:c r="H191" s="73" t="str">
        <x:v>객실, 유형, 우선순위, 내용 저장</x:v>
      </x:c>
      <x:c r="I191" s="81" t="str">
        <x:v>PASS</x:v>
      </x:c>
      <x:c r="J191" s="81" t="str">
        <x:v>성공</x:v>
      </x:c>
      <x:c r="K191" s="81" t="str">
        <x:v>수정 없음</x:v>
      </x:c>
      <x:c r="L191" s="73" t="str"/>
      <x:c r="M191" s="73" t="str"/>
      <x:c r="N191" s="73" t="str"/>
      <x:c r="O191" s="73" t="str">
        <x:v>기대 결과와 일치</x:v>
      </x:c>
      <x:c r="P191" s="73" t="str">
        <x:v>outputs/full-plan-20260719/105-functional-operations-extended.json</x:v>
      </x:c>
    </x:row>
    <x:row r="192">
      <x:c r="A192" s="80" t="n">
        <x:v>188</x:v>
      </x:c>
      <x:c r="B192" s="81" t="str">
        <x:v>MAINT-002</x:v>
      </x:c>
      <x:c r="C192" s="73" t="str">
        <x:v>7.12 시설 보수</x:v>
      </x:c>
      <x:c r="D192" s="81" t="str">
        <x:v>P0</x:v>
      </x:c>
      <x:c r="E192" s="73" t="str"/>
      <x:c r="F192" s="73" t="str">
        <x:v>dashboard/operations/maintenance.html</x:v>
      </x:c>
      <x:c r="G192" s="73" t="str">
        <x:v>점검/수리 상태로 객실 전환</x:v>
      </x:c>
      <x:c r="H192" s="73" t="str">
        <x:v>예약/체크인 차단과 상태 배지 반영</x:v>
      </x:c>
      <x:c r="I192" s="81" t="str">
        <x:v>PASS</x:v>
      </x:c>
      <x:c r="J192" s="81" t="str">
        <x:v>성공</x:v>
      </x:c>
      <x:c r="K192" s="81" t="str">
        <x:v>수정 완료</x:v>
      </x:c>
      <x:c r="L192" s="73" t="str">
        <x:v>시설보수 요청 수정·삭제, 등록 시 out-of-service 전환, 완료·삭제 시 이전 객실 상태 복원, 진행·완료 삭제 차단을 보완</x:v>
      </x:c>
      <x:c r="M192" s="73" t="str"/>
      <x:c r="N192" s="73" t="str"/>
      <x:c r="O192" s="73" t="str">
        <x:v>수정 후 동일 케이스를 재실행하여 기대 결과와 일치함</x:v>
      </x:c>
      <x:c r="P192" s="73" t="str">
        <x:v>outputs/full-plan-20260719/105-functional-operations-extended.json</x:v>
      </x:c>
    </x:row>
    <x:row r="193">
      <x:c r="A193" s="80" t="n">
        <x:v>189</x:v>
      </x:c>
      <x:c r="B193" s="81" t="str">
        <x:v>MAINT-003</x:v>
      </x:c>
      <x:c r="C193" s="73" t="str">
        <x:v>7.12 시설 보수</x:v>
      </x:c>
      <x:c r="D193" s="81" t="str">
        <x:v>P0</x:v>
      </x:c>
      <x:c r="E193" s="73" t="str"/>
      <x:c r="F193" s="73" t="str">
        <x:v>dashboard/operations/maintenance.html</x:v>
      </x:c>
      <x:c r="G193" s="73" t="str">
        <x:v>작업 착수</x:v>
      </x:c>
      <x:c r="H193" s="73" t="str">
        <x:v>파랑 계열 액션과 진행 상태 저장</x:v>
      </x:c>
      <x:c r="I193" s="81" t="str">
        <x:v>PASS</x:v>
      </x:c>
      <x:c r="J193" s="81" t="str">
        <x:v>성공</x:v>
      </x:c>
      <x:c r="K193" s="81" t="str">
        <x:v>수정 없음</x:v>
      </x:c>
      <x:c r="L193" s="73" t="str"/>
      <x:c r="M193" s="73" t="str"/>
      <x:c r="N193" s="73" t="str"/>
      <x:c r="O193" s="73" t="str">
        <x:v>기대 결과와 일치</x:v>
      </x:c>
      <x:c r="P193" s="73" t="str">
        <x:v>outputs/full-plan-20260719/105-functional-operations-extended.json</x:v>
      </x:c>
    </x:row>
    <x:row r="194">
      <x:c r="A194" s="80" t="n">
        <x:v>190</x:v>
      </x:c>
      <x:c r="B194" s="81" t="str">
        <x:v>MAINT-004</x:v>
      </x:c>
      <x:c r="C194" s="73" t="str">
        <x:v>7.12 시설 보수</x:v>
      </x:c>
      <x:c r="D194" s="81" t="str">
        <x:v>P0</x:v>
      </x:c>
      <x:c r="E194" s="73" t="str"/>
      <x:c r="F194" s="73" t="str">
        <x:v>dashboard/operations/maintenance.html</x:v>
      </x:c>
      <x:c r="G194" s="73" t="str">
        <x:v>완료 확인</x:v>
      </x:c>
      <x:c r="H194" s="73" t="str">
        <x:v>초록 계열 액션과 완료 상태 저장</x:v>
      </x:c>
      <x:c r="I194" s="81" t="str">
        <x:v>PASS</x:v>
      </x:c>
      <x:c r="J194" s="81" t="str">
        <x:v>성공</x:v>
      </x:c>
      <x:c r="K194" s="81" t="str">
        <x:v>수정 없음</x:v>
      </x:c>
      <x:c r="L194" s="73" t="str"/>
      <x:c r="M194" s="73" t="str"/>
      <x:c r="N194" s="73" t="str"/>
      <x:c r="O194" s="73" t="str">
        <x:v>기대 결과와 일치</x:v>
      </x:c>
      <x:c r="P194" s="73" t="str">
        <x:v>outputs/full-plan-20260719/105-functional-operations-extended.json</x:v>
      </x:c>
    </x:row>
    <x:row r="195">
      <x:c r="A195" s="80" t="n">
        <x:v>191</x:v>
      </x:c>
      <x:c r="B195" s="81" t="str">
        <x:v>MAINT-005</x:v>
      </x:c>
      <x:c r="C195" s="73" t="str">
        <x:v>7.12 시설 보수</x:v>
      </x:c>
      <x:c r="D195" s="81" t="str">
        <x:v>P0</x:v>
      </x:c>
      <x:c r="E195" s="73" t="str"/>
      <x:c r="F195" s="73" t="str">
        <x:v>dashboard/operations/maintenance.html</x:v>
      </x:c>
      <x:c r="G195" s="73" t="str">
        <x:v>객실 판매 재개</x:v>
      </x:c>
      <x:c r="H195" s="73" t="str">
        <x:v>완료 후 객실 상태/예약 가능 여부 복원</x:v>
      </x:c>
      <x:c r="I195" s="81" t="str">
        <x:v>PASS</x:v>
      </x:c>
      <x:c r="J195" s="81" t="str">
        <x:v>성공</x:v>
      </x:c>
      <x:c r="K195" s="81" t="str">
        <x:v>수정 완료</x:v>
      </x:c>
      <x:c r="L195" s="73" t="str">
        <x:v>시설보수 요청 수정·삭제, 등록 시 out-of-service 전환, 완료·삭제 시 이전 객실 상태 복원, 진행·완료 삭제 차단을 보완</x:v>
      </x:c>
      <x:c r="M195" s="73" t="str"/>
      <x:c r="N195" s="73" t="str"/>
      <x:c r="O195" s="73" t="str">
        <x:v>수정 후 동일 케이스를 재실행하여 기대 결과와 일치함</x:v>
      </x:c>
      <x:c r="P195" s="73" t="str">
        <x:v>outputs/full-plan-20260719/105-functional-operations-extended.json</x:v>
      </x:c>
    </x:row>
    <x:row r="196">
      <x:c r="A196" s="80" t="n">
        <x:v>192</x:v>
      </x:c>
      <x:c r="B196" s="81" t="str">
        <x:v>MAINT-006</x:v>
      </x:c>
      <x:c r="C196" s="73" t="str">
        <x:v>7.12 시설 보수</x:v>
      </x:c>
      <x:c r="D196" s="81" t="str">
        <x:v>P0</x:v>
      </x:c>
      <x:c r="E196" s="73" t="str"/>
      <x:c r="F196" s="73" t="str">
        <x:v>dashboard/operations/maintenance.html</x:v>
      </x:c>
      <x:c r="G196" s="73" t="str">
        <x:v>요청 수정</x:v>
      </x:c>
      <x:c r="H196" s="73" t="str">
        <x:v>내용/담당자/우선순위 유지</x:v>
      </x:c>
      <x:c r="I196" s="81" t="str">
        <x:v>PASS</x:v>
      </x:c>
      <x:c r="J196" s="81" t="str">
        <x:v>성공</x:v>
      </x:c>
      <x:c r="K196" s="81" t="str">
        <x:v>수정 완료</x:v>
      </x:c>
      <x:c r="L196" s="73" t="str">
        <x:v>시설보수 요청 수정·삭제, 등록 시 out-of-service 전환, 완료·삭제 시 이전 객실 상태 복원, 진행·완료 삭제 차단을 보완</x:v>
      </x:c>
      <x:c r="M196" s="73" t="str"/>
      <x:c r="N196" s="73" t="str"/>
      <x:c r="O196" s="73" t="str">
        <x:v>수정 후 동일 케이스를 재실행하여 기대 결과와 일치함</x:v>
      </x:c>
      <x:c r="P196" s="73" t="str">
        <x:v>outputs/full-plan-20260719/105-functional-operations-extended.json</x:v>
      </x:c>
    </x:row>
    <x:row r="197">
      <x:c r="A197" s="80" t="n">
        <x:v>193</x:v>
      </x:c>
      <x:c r="B197" s="81" t="str">
        <x:v>MAINT-007</x:v>
      </x:c>
      <x:c r="C197" s="73" t="str">
        <x:v>7.12 시설 보수</x:v>
      </x:c>
      <x:c r="D197" s="81" t="str">
        <x:v>P0</x:v>
      </x:c>
      <x:c r="E197" s="73" t="str"/>
      <x:c r="F197" s="73" t="str">
        <x:v>dashboard/operations/maintenance.html</x:v>
      </x:c>
      <x:c r="G197" s="73" t="str">
        <x:v>요청 삭제</x:v>
      </x:c>
      <x:c r="H197" s="73" t="str">
        <x:v>진행 상태 제한과 확인 정상</x:v>
      </x:c>
      <x:c r="I197" s="81" t="str">
        <x:v>PASS</x:v>
      </x:c>
      <x:c r="J197" s="81" t="str">
        <x:v>성공</x:v>
      </x:c>
      <x:c r="K197" s="81" t="str">
        <x:v>수정 완료</x:v>
      </x:c>
      <x:c r="L197" s="73" t="str">
        <x:v>시설보수 요청 수정·삭제, 등록 시 out-of-service 전환, 완료·삭제 시 이전 객실 상태 복원, 진행·완료 삭제 차단을 보완</x:v>
      </x:c>
      <x:c r="M197" s="73" t="str"/>
      <x:c r="N197" s="73" t="str"/>
      <x:c r="O197" s="73" t="str">
        <x:v>수정 후 동일 케이스를 재실행하여 기대 결과와 일치함</x:v>
      </x:c>
      <x:c r="P197" s="73" t="str">
        <x:v>outputs/full-plan-20260719/105-functional-operations-extended.json</x:v>
      </x:c>
    </x:row>
    <x:row r="198">
      <x:c r="A198" s="80" t="n">
        <x:v>194</x:v>
      </x:c>
      <x:c r="B198" s="81" t="str">
        <x:v>MAINT-008</x:v>
      </x:c>
      <x:c r="C198" s="73" t="str">
        <x:v>7.12 시설 보수</x:v>
      </x:c>
      <x:c r="D198" s="81" t="str">
        <x:v>P1</x:v>
      </x:c>
      <x:c r="E198" s="73" t="str"/>
      <x:c r="F198" s="73" t="str">
        <x:v>dashboard/operations/maintenance.html</x:v>
      </x:c>
      <x:c r="G198" s="73" t="str">
        <x:v>Kanban/Table 전환</x:v>
      </x:c>
      <x:c r="H198" s="73" t="str">
        <x:v>같은 요청/카운트/상태</x:v>
      </x:c>
      <x:c r="I198" s="81" t="str">
        <x:v>PASS</x:v>
      </x:c>
      <x:c r="J198" s="81" t="str">
        <x:v>성공</x:v>
      </x:c>
      <x:c r="K198" s="81" t="str">
        <x:v>수정 완료</x:v>
      </x:c>
      <x:c r="L198" s="73" t="str">
        <x:v>시설보수 요청 수정·삭제, 등록 시 out-of-service 전환, 완료·삭제 시 이전 객실 상태 복원, 진행·완료 삭제 차단을 보완</x:v>
      </x:c>
      <x:c r="M198" s="73" t="str"/>
      <x:c r="N198" s="73" t="str"/>
      <x:c r="O198" s="73" t="str">
        <x:v>수정 후 동일 케이스를 재실행하여 기대 결과와 일치함</x:v>
      </x:c>
      <x:c r="P198" s="73" t="str">
        <x:v>outputs/full-plan-20260719/105-functional-operations-extended.json</x:v>
      </x:c>
    </x:row>
    <x:row r="199">
      <x:c r="A199" s="80" t="n">
        <x:v>195</x:v>
      </x:c>
      <x:c r="B199" s="81" t="str">
        <x:v>MAINT-009</x:v>
      </x:c>
      <x:c r="C199" s="73" t="str">
        <x:v>7.12 시설 보수</x:v>
      </x:c>
      <x:c r="D199" s="81" t="str">
        <x:v>P1</x:v>
      </x:c>
      <x:c r="E199" s="73" t="str"/>
      <x:c r="F199" s="73" t="str">
        <x:v>dashboard/operations/maintenance.html</x:v>
      </x:c>
      <x:c r="G199" s="73" t="str">
        <x:v>상태/우선순위 필터</x:v>
      </x:c>
      <x:c r="H199" s="73" t="str">
        <x:v>실제 목록과 카운트 일치</x:v>
      </x:c>
      <x:c r="I199" s="81" t="str">
        <x:v>PASS</x:v>
      </x:c>
      <x:c r="J199" s="81" t="str">
        <x:v>성공</x:v>
      </x:c>
      <x:c r="K199" s="81" t="str">
        <x:v>수정 완료</x:v>
      </x:c>
      <x:c r="L199" s="73" t="str">
        <x:v>시설보수 요청 수정·삭제, 등록 시 out-of-service 전환, 완료·삭제 시 이전 객실 상태 복원, 진행·완료 삭제 차단을 보완</x:v>
      </x:c>
      <x:c r="M199" s="73" t="str"/>
      <x:c r="N199" s="73" t="str"/>
      <x:c r="O199" s="73" t="str">
        <x:v>수정 후 동일 케이스를 재실행하여 기대 결과와 일치함</x:v>
      </x:c>
      <x:c r="P199" s="73" t="str">
        <x:v>outputs/full-plan-20260719/105-functional-operations-extended.json</x:v>
      </x:c>
    </x:row>
    <x:row r="200">
      <x:c r="A200" s="80" t="n">
        <x:v>196</x:v>
      </x:c>
      <x:c r="B200" s="81" t="str">
        <x:v>MAINT-010</x:v>
      </x:c>
      <x:c r="C200" s="73" t="str">
        <x:v>7.12 시설 보수</x:v>
      </x:c>
      <x:c r="D200" s="81" t="str">
        <x:v>P1</x:v>
      </x:c>
      <x:c r="E200" s="73" t="str"/>
      <x:c r="F200" s="73" t="str">
        <x:v>dashboard/operations/maintenance.html</x:v>
      </x:c>
      <x:c r="G200" s="73" t="str">
        <x:v>모바일 select/hover</x:v>
      </x:c>
      <x:c r="H200" s="73" t="str">
        <x:v>떨림/자동 닫힘 없이 선택 가능</x:v>
      </x:c>
      <x:c r="I200" s="81" t="str">
        <x:v>PASS</x:v>
      </x:c>
      <x:c r="J200" s="81" t="str">
        <x:v>성공</x:v>
      </x:c>
      <x:c r="K200" s="81" t="str">
        <x:v>수정 완료</x:v>
      </x:c>
      <x:c r="L200" s="73" t="str">
        <x:v>시설보수 요청 수정·삭제, 등록 시 out-of-service 전환, 완료·삭제 시 이전 객실 상태 복원, 진행·완료 삭제 차단을 보완</x:v>
      </x:c>
      <x:c r="M200" s="73" t="str"/>
      <x:c r="N200" s="73" t="str"/>
      <x:c r="O200" s="73" t="str">
        <x:v>수정 후 동일 케이스를 재실행하여 기대 결과와 일치함</x:v>
      </x:c>
      <x:c r="P200" s="73" t="str">
        <x:v>outputs/full-plan-20260719/105-functional-operations-extended.json</x:v>
      </x:c>
    </x:row>
    <x:row r="201">
      <x:c r="A201" s="80" t="n">
        <x:v>197</x:v>
      </x:c>
      <x:c r="B201" s="81" t="str">
        <x:v>MAINT-011</x:v>
      </x:c>
      <x:c r="C201" s="73" t="str">
        <x:v>7.12 시설 보수</x:v>
      </x:c>
      <x:c r="D201" s="81" t="str">
        <x:v>P1</x:v>
      </x:c>
      <x:c r="E201" s="73" t="str"/>
      <x:c r="F201" s="73" t="str">
        <x:v>dashboard/operations/maintenance.html</x:v>
      </x:c>
      <x:c r="G201" s="73" t="str">
        <x:v>일반 객실 체크인 회귀</x:v>
      </x:c>
      <x:c r="H201" s="73" t="str">
        <x:v>점검이 아닌 객실이 잘못 차단되지 않음</x:v>
      </x:c>
      <x:c r="I201" s="81" t="str">
        <x:v>PASS</x:v>
      </x:c>
      <x:c r="J201" s="81" t="str">
        <x:v>성공</x:v>
      </x:c>
      <x:c r="K201" s="81" t="str">
        <x:v>수정 완료</x:v>
      </x:c>
      <x:c r="L201" s="73" t="str">
        <x:v>시설보수 요청 수정·삭제, 등록 시 out-of-service 전환, 완료·삭제 시 이전 객실 상태 복원, 진행·완료 삭제 차단을 보완</x:v>
      </x:c>
      <x:c r="M201" s="73" t="str"/>
      <x:c r="N201" s="73" t="str"/>
      <x:c r="O201" s="73" t="str">
        <x:v>수정 후 동일 케이스를 재실행하여 기대 결과와 일치함</x:v>
      </x:c>
      <x:c r="P201" s="73" t="str">
        <x:v>outputs/full-plan-20260719/105-functional-operations-extended.json</x:v>
      </x:c>
    </x:row>
    <x:row r="202">
      <x:c r="A202" s="80" t="n">
        <x:v>198</x:v>
      </x:c>
      <x:c r="B202" s="81" t="str">
        <x:v>MAINT-012</x:v>
      </x:c>
      <x:c r="C202" s="73" t="str">
        <x:v>7.12 시설 보수</x:v>
      </x:c>
      <x:c r="D202" s="81" t="str">
        <x:v>P1</x:v>
      </x:c>
      <x:c r="E202" s="73" t="str"/>
      <x:c r="F202" s="73" t="str">
        <x:v>dashboard/operations/maintenance.html</x:v>
      </x:c>
      <x:c r="G202" s="73" t="str">
        <x:v>감사/마감 로그</x:v>
      </x:c>
      <x:c r="H202" s="73" t="str">
        <x:v>객실 점검 상태 변경 기록 확인</x:v>
      </x:c>
      <x:c r="I202" s="81" t="str">
        <x:v>PASS</x:v>
      </x:c>
      <x:c r="J202" s="81" t="str">
        <x:v>성공</x:v>
      </x:c>
      <x:c r="K202" s="81" t="str">
        <x:v>수정 없음</x:v>
      </x:c>
      <x:c r="L202" s="73" t="str"/>
      <x:c r="M202" s="73" t="str"/>
      <x:c r="N202" s="73" t="str"/>
      <x:c r="O202" s="73" t="str">
        <x:v>기대 결과와 일치</x:v>
      </x:c>
      <x:c r="P202" s="73" t="str">
        <x:v>outputs/full-plan-20260719/105-functional-operations-extended.json</x:v>
      </x:c>
    </x:row>
    <x:row r="203">
      <x:c r="A203" s="80" t="n">
        <x:v>199</x:v>
      </x:c>
      <x:c r="B203" s="81" t="str">
        <x:v>ANC-001</x:v>
      </x:c>
      <x:c r="C203" s="73" t="str">
        <x:v>7.13 부가서비스 등록</x:v>
      </x:c>
      <x:c r="D203" s="81" t="str">
        <x:v>P0</x:v>
      </x:c>
      <x:c r="E203" s="73" t="str"/>
      <x:c r="F203" s="73" t="str">
        <x:v>dashboard/operations/ancillary.html</x:v>
      </x:c>
      <x:c r="G203" s="73" t="str">
        <x:v>기본 목록 진입</x:v>
      </x:c>
      <x:c r="H203" s="73" t="str">
        <x:v>투숙객이 배정된 투숙 중 객실만 표시</x:v>
      </x:c>
      <x:c r="I203" s="81" t="str">
        <x:v>PASS</x:v>
      </x:c>
      <x:c r="J203" s="81" t="str">
        <x:v>성공</x:v>
      </x:c>
      <x:c r="K203" s="81" t="str">
        <x:v>수정 없음</x:v>
      </x:c>
      <x:c r="L203" s="73" t="str"/>
      <x:c r="M203" s="73" t="str"/>
      <x:c r="N203" s="73" t="str"/>
      <x:c r="O203" s="73" t="str">
        <x:v>기대 결과와 일치</x:v>
      </x:c>
      <x:c r="P203" s="73" t="str">
        <x:v>outputs/full-plan-20260719/104-functional-operations.json</x:v>
      </x:c>
    </x:row>
    <x:row r="204">
      <x:c r="A204" s="80" t="n">
        <x:v>200</x:v>
      </x:c>
      <x:c r="B204" s="81" t="str">
        <x:v>ANC-002</x:v>
      </x:c>
      <x:c r="C204" s="73" t="str">
        <x:v>7.13 부가서비스 등록</x:v>
      </x:c>
      <x:c r="D204" s="81" t="str">
        <x:v>P0</x:v>
      </x:c>
      <x:c r="E204" s="73" t="str"/>
      <x:c r="F204" s="73" t="str">
        <x:v>dashboard/operations/ancillary.html</x:v>
      </x:c>
      <x:c r="G204" s="73" t="str">
        <x:v>객실 없는/투숙객 없는 카드 검증</x:v>
      </x:c>
      <x:c r="H204" s="73" t="str">
        <x:v>부가서비스/금액/등록 버튼 미노출</x:v>
      </x:c>
      <x:c r="I204" s="81" t="str">
        <x:v>PASS</x:v>
      </x:c>
      <x:c r="J204" s="81" t="str">
        <x:v>성공</x:v>
      </x:c>
      <x:c r="K204" s="81" t="str">
        <x:v>수정 없음</x:v>
      </x:c>
      <x:c r="L204" s="73" t="str"/>
      <x:c r="M204" s="73" t="str"/>
      <x:c r="N204" s="73" t="str"/>
      <x:c r="O204" s="73" t="str">
        <x:v>기대 결과와 일치</x:v>
      </x:c>
      <x:c r="P204" s="73" t="str">
        <x:v>outputs/full-plan-20260719/104-functional-operations.json</x:v>
      </x:c>
    </x:row>
    <x:row r="205">
      <x:c r="A205" s="80" t="n">
        <x:v>201</x:v>
      </x:c>
      <x:c r="B205" s="81" t="str">
        <x:v>ANC-003</x:v>
      </x:c>
      <x:c r="C205" s="73" t="str">
        <x:v>7.13 부가서비스 등록</x:v>
      </x:c>
      <x:c r="D205" s="81" t="str">
        <x:v>P0</x:v>
      </x:c>
      <x:c r="E205" s="73" t="str"/>
      <x:c r="F205" s="73" t="str">
        <x:v>dashboard/operations/ancillary.html</x:v>
      </x:c>
      <x:c r="G205" s="73" t="str">
        <x:v>전체/통합 POS/골프/렌터카/음식점/기타 필터</x:v>
      </x:c>
      <x:c r="H205" s="73" t="str">
        <x:v>해당 서비스가 실제 등록된 객실만 표시</x:v>
      </x:c>
      <x:c r="I205" s="81" t="str">
        <x:v>PASS</x:v>
      </x:c>
      <x:c r="J205" s="81" t="str">
        <x:v>성공</x:v>
      </x:c>
      <x:c r="K205" s="81" t="str">
        <x:v>수정 없음</x:v>
      </x:c>
      <x:c r="L205" s="73" t="str"/>
      <x:c r="M205" s="73" t="str"/>
      <x:c r="N205" s="73" t="str"/>
      <x:c r="O205" s="73" t="str">
        <x:v>기대 결과와 일치</x:v>
      </x:c>
      <x:c r="P205" s="73" t="str">
        <x:v>outputs/full-plan-20260719/104-functional-operations.json</x:v>
      </x:c>
    </x:row>
    <x:row r="206">
      <x:c r="A206" s="80" t="n">
        <x:v>202</x:v>
      </x:c>
      <x:c r="B206" s="81" t="str">
        <x:v>ANC-004</x:v>
      </x:c>
      <x:c r="C206" s="73" t="str">
        <x:v>7.13 부가서비스 등록</x:v>
      </x:c>
      <x:c r="D206" s="81" t="str">
        <x:v>P0</x:v>
      </x:c>
      <x:c r="E206" s="73" t="str"/>
      <x:c r="F206" s="73" t="str">
        <x:v>dashboard/operations/ancillary.html</x:v>
      </x:c>
      <x:c r="G206" s="73" t="str">
        <x:v>필터 KPI 비교</x:v>
      </x:c>
      <x:c r="H206" s="73" t="str">
        <x:v>각 카테고리 KPI, 카드 수, 합계가 일치</x:v>
      </x:c>
      <x:c r="I206" s="81" t="str">
        <x:v>PASS</x:v>
      </x:c>
      <x:c r="J206" s="81" t="str">
        <x:v>성공</x:v>
      </x:c>
      <x:c r="K206" s="81" t="str">
        <x:v>수정 없음</x:v>
      </x:c>
      <x:c r="L206" s="73" t="str"/>
      <x:c r="M206" s="73" t="str"/>
      <x:c r="N206" s="73" t="str"/>
      <x:c r="O206" s="73" t="str">
        <x:v>기대 결과와 일치</x:v>
      </x:c>
      <x:c r="P206" s="73" t="str">
        <x:v>outputs/full-plan-20260719/104-functional-operations.json</x:v>
      </x:c>
    </x:row>
    <x:row r="207">
      <x:c r="A207" s="80" t="n">
        <x:v>203</x:v>
      </x:c>
      <x:c r="B207" s="81" t="str">
        <x:v>ANC-005</x:v>
      </x:c>
      <x:c r="C207" s="73" t="str">
        <x:v>7.13 부가서비스 등록</x:v>
      </x:c>
      <x:c r="D207" s="81" t="str">
        <x:v>P0</x:v>
      </x:c>
      <x:c r="E207" s="73" t="str"/>
      <x:c r="F207" s="73" t="str">
        <x:v>dashboard/operations/ancillary.html</x:v>
      </x:c>
      <x:c r="G207" s="73" t="str">
        <x:v>통합 POS 등록</x:v>
      </x:c>
      <x:c r="H207" s="73" t="str">
        <x:v>업체/항목/수량/금액/메모/투숙객 저장</x:v>
      </x:c>
      <x:c r="I207" s="81" t="str">
        <x:v>PASS</x:v>
      </x:c>
      <x:c r="J207" s="81" t="str">
        <x:v>성공</x:v>
      </x:c>
      <x:c r="K207" s="81" t="str">
        <x:v>수정 없음</x:v>
      </x:c>
      <x:c r="L207" s="73" t="str"/>
      <x:c r="M207" s="73" t="str"/>
      <x:c r="N207" s="73" t="str"/>
      <x:c r="O207" s="73" t="str">
        <x:v>기대 결과와 일치</x:v>
      </x:c>
      <x:c r="P207" s="73" t="str">
        <x:v>outputs/full-plan-20260719/104-functional-operations.json</x:v>
      </x:c>
    </x:row>
    <x:row r="208">
      <x:c r="A208" s="80" t="n">
        <x:v>204</x:v>
      </x:c>
      <x:c r="B208" s="81" t="str">
        <x:v>ANC-006</x:v>
      </x:c>
      <x:c r="C208" s="73" t="str">
        <x:v>7.13 부가서비스 등록</x:v>
      </x:c>
      <x:c r="D208" s="81" t="str">
        <x:v>P0</x:v>
      </x:c>
      <x:c r="E208" s="73" t="str"/>
      <x:c r="F208" s="73" t="str">
        <x:v>dashboard/operations/ancillary.html</x:v>
      </x:c>
      <x:c r="G208" s="73" t="str">
        <x:v>골프 등록</x:v>
      </x:c>
      <x:c r="H208" s="73" t="str">
        <x:v>업체, 이용 항목, 홀 숫자/범위, 인원, 티오프, 코스 저장</x:v>
      </x:c>
      <x:c r="I208" s="81" t="str">
        <x:v>PASS</x:v>
      </x:c>
      <x:c r="J208" s="81" t="str">
        <x:v>성공</x:v>
      </x:c>
      <x:c r="K208" s="81" t="str">
        <x:v>수정 없음</x:v>
      </x:c>
      <x:c r="L208" s="73" t="str"/>
      <x:c r="M208" s="73" t="str"/>
      <x:c r="N208" s="73" t="str"/>
      <x:c r="O208" s="73" t="str">
        <x:v>기대 결과와 일치</x:v>
      </x:c>
      <x:c r="P208" s="73" t="str">
        <x:v>outputs/full-plan-20260719/104-functional-operations.json</x:v>
      </x:c>
    </x:row>
    <x:row r="209">
      <x:c r="A209" s="80" t="n">
        <x:v>205</x:v>
      </x:c>
      <x:c r="B209" s="81" t="str">
        <x:v>ANC-007</x:v>
      </x:c>
      <x:c r="C209" s="73" t="str">
        <x:v>7.13 부가서비스 등록</x:v>
      </x:c>
      <x:c r="D209" s="81" t="str">
        <x:v>P0</x:v>
      </x:c>
      <x:c r="E209" s="73" t="str"/>
      <x:c r="F209" s="73" t="str">
        <x:v>dashboard/operations/ancillary.html</x:v>
      </x:c>
      <x:c r="G209" s="73" t="str">
        <x:v>렌터카 등록</x:v>
      </x:c>
      <x:c r="H209" s="73" t="str">
        <x:v>차종, 픽업, 인수 시간, 위치, 연락처 저장</x:v>
      </x:c>
      <x:c r="I209" s="81" t="str">
        <x:v>PASS</x:v>
      </x:c>
      <x:c r="J209" s="81" t="str">
        <x:v>성공</x:v>
      </x:c>
      <x:c r="K209" s="81" t="str">
        <x:v>수정 없음</x:v>
      </x:c>
      <x:c r="L209" s="73" t="str"/>
      <x:c r="M209" s="73" t="str"/>
      <x:c r="N209" s="73" t="str"/>
      <x:c r="O209" s="73" t="str">
        <x:v>기대 결과와 일치</x:v>
      </x:c>
      <x:c r="P209" s="73" t="str">
        <x:v>outputs/full-plan-20260719/104-functional-operations.json</x:v>
      </x:c>
    </x:row>
    <x:row r="210">
      <x:c r="A210" s="80" t="n">
        <x:v>206</x:v>
      </x:c>
      <x:c r="B210" s="81" t="str">
        <x:v>ANC-008</x:v>
      </x:c>
      <x:c r="C210" s="73" t="str">
        <x:v>7.13 부가서비스 등록</x:v>
      </x:c>
      <x:c r="D210" s="81" t="str">
        <x:v>P0</x:v>
      </x:c>
      <x:c r="E210" s="73" t="str"/>
      <x:c r="F210" s="73" t="str">
        <x:v>dashboard/operations/ancillary.html</x:v>
      </x:c>
      <x:c r="G210" s="73" t="str">
        <x:v>음식점 등록</x:v>
      </x:c>
      <x:c r="H210" s="73" t="str">
        <x:v>업체 위치, 메뉴, 수량, 금액, 쿠폰/바우처 저장</x:v>
      </x:c>
      <x:c r="I210" s="81" t="str">
        <x:v>PASS</x:v>
      </x:c>
      <x:c r="J210" s="81" t="str">
        <x:v>성공</x:v>
      </x:c>
      <x:c r="K210" s="81" t="str">
        <x:v>수정 없음</x:v>
      </x:c>
      <x:c r="L210" s="73" t="str"/>
      <x:c r="M210" s="73" t="str"/>
      <x:c r="N210" s="73" t="str"/>
      <x:c r="O210" s="73" t="str">
        <x:v>기대 결과와 일치</x:v>
      </x:c>
      <x:c r="P210" s="73" t="str">
        <x:v>outputs/full-plan-20260719/104-functional-operations.json</x:v>
      </x:c>
    </x:row>
    <x:row r="211">
      <x:c r="A211" s="80" t="n">
        <x:v>207</x:v>
      </x:c>
      <x:c r="B211" s="81" t="str">
        <x:v>ANC-009</x:v>
      </x:c>
      <x:c r="C211" s="73" t="str">
        <x:v>7.13 부가서비스 등록</x:v>
      </x:c>
      <x:c r="D211" s="81" t="str">
        <x:v>P0</x:v>
      </x:c>
      <x:c r="E211" s="73" t="str"/>
      <x:c r="F211" s="73" t="str">
        <x:v>dashboard/operations/ancillary.html</x:v>
      </x:c>
      <x:c r="G211" s="73" t="str">
        <x:v>기타 등록</x:v>
      </x:c>
      <x:c r="H211" s="73" t="str">
        <x:v>동적 업체/항목, 설명, 비용 저장</x:v>
      </x:c>
      <x:c r="I211" s="81" t="str">
        <x:v>PASS</x:v>
      </x:c>
      <x:c r="J211" s="81" t="str">
        <x:v>성공</x:v>
      </x:c>
      <x:c r="K211" s="81" t="str">
        <x:v>수정 없음</x:v>
      </x:c>
      <x:c r="L211" s="73" t="str"/>
      <x:c r="M211" s="73" t="str"/>
      <x:c r="N211" s="73" t="str"/>
      <x:c r="O211" s="73" t="str">
        <x:v>기대 결과와 일치</x:v>
      </x:c>
      <x:c r="P211" s="73" t="str">
        <x:v>outputs/full-plan-20260719/104-functional-operations.json</x:v>
      </x:c>
    </x:row>
    <x:row r="212">
      <x:c r="A212" s="80" t="n">
        <x:v>208</x:v>
      </x:c>
      <x:c r="B212" s="81" t="str">
        <x:v>ANC-010</x:v>
      </x:c>
      <x:c r="C212" s="73" t="str">
        <x:v>7.13 부가서비스 등록</x:v>
      </x:c>
      <x:c r="D212" s="81" t="str">
        <x:v>P0</x:v>
      </x:c>
      <x:c r="E212" s="73" t="str"/>
      <x:c r="F212" s="73" t="str">
        <x:v>dashboard/operations/ancillary.html</x:v>
      </x:c>
      <x:c r="G212" s="73" t="str">
        <x:v>단체 객실 일괄 등록</x:v>
      </x:c>
      <x:c r="H212" s="73" t="str">
        <x:v>투숙객 있는 대상만 선택 가능하고 주문별 저장</x:v>
      </x:c>
      <x:c r="I212" s="81" t="str">
        <x:v>PASS</x:v>
      </x:c>
      <x:c r="J212" s="81" t="str">
        <x:v>성공</x:v>
      </x:c>
      <x:c r="K212" s="81" t="str">
        <x:v>수정 없음</x:v>
      </x:c>
      <x:c r="L212" s="73" t="str"/>
      <x:c r="M212" s="73" t="str"/>
      <x:c r="N212" s="73" t="str"/>
      <x:c r="O212" s="73" t="str">
        <x:v>기대 결과와 일치</x:v>
      </x:c>
      <x:c r="P212" s="73" t="str">
        <x:v>outputs/full-plan-20260719/104-functional-operations.json</x:v>
      </x:c>
    </x:row>
    <x:row r="213">
      <x:c r="A213" s="80" t="n">
        <x:v>209</x:v>
      </x:c>
      <x:c r="B213" s="81" t="str">
        <x:v>ANC-011</x:v>
      </x:c>
      <x:c r="C213" s="73" t="str">
        <x:v>7.13 부가서비스 등록</x:v>
      </x:c>
      <x:c r="D213" s="81" t="str">
        <x:v>P0</x:v>
      </x:c>
      <x:c r="E213" s="73" t="str"/>
      <x:c r="F213" s="73" t="str">
        <x:v>dashboard/operations/ancillary.html</x:v>
      </x:c>
      <x:c r="G213" s="73" t="str">
        <x:v>등록 → 수락 → 완료</x:v>
      </x:c>
      <x:c r="H213" s="73" t="str">
        <x:v>단계별 버튼/배지/목록/KPI 반영</x:v>
      </x:c>
      <x:c r="I213" s="81" t="str">
        <x:v>PASS</x:v>
      </x:c>
      <x:c r="J213" s="81" t="str">
        <x:v>성공</x:v>
      </x:c>
      <x:c r="K213" s="81" t="str">
        <x:v>수정 없음</x:v>
      </x:c>
      <x:c r="L213" s="73" t="str"/>
      <x:c r="M213" s="73" t="str"/>
      <x:c r="N213" s="73" t="str"/>
      <x:c r="O213" s="73" t="str">
        <x:v>기대 결과와 일치</x:v>
      </x:c>
      <x:c r="P213" s="73" t="str">
        <x:v>outputs/full-plan-20260719/104-functional-operations.json</x:v>
      </x:c>
    </x:row>
    <x:row r="214">
      <x:c r="A214" s="80" t="n">
        <x:v>210</x:v>
      </x:c>
      <x:c r="B214" s="81" t="str">
        <x:v>ANC-012</x:v>
      </x:c>
      <x:c r="C214" s="73" t="str">
        <x:v>7.13 부가서비스 등록</x:v>
      </x:c>
      <x:c r="D214" s="81" t="str">
        <x:v>P0</x:v>
      </x:c>
      <x:c r="E214" s="73" t="str"/>
      <x:c r="F214" s="73" t="str">
        <x:v>dashboard/operations/ancillary.html</x:v>
      </x:c>
      <x:c r="G214" s="73" t="str">
        <x:v>완료 → 미완료 전환</x:v>
      </x:c>
      <x:c r="H214" s="73" t="str">
        <x:v>상태가 수락/미완료로 저장되고 버튼은 다시 완료로 변경</x:v>
      </x:c>
      <x:c r="I214" s="81" t="str">
        <x:v>PASS</x:v>
      </x:c>
      <x:c r="J214" s="81" t="str">
        <x:v>성공</x:v>
      </x:c>
      <x:c r="K214" s="81" t="str">
        <x:v>수정 없음</x:v>
      </x:c>
      <x:c r="L214" s="73" t="str"/>
      <x:c r="M214" s="73" t="str"/>
      <x:c r="N214" s="73" t="str"/>
      <x:c r="O214" s="73" t="str">
        <x:v>기대 결과와 일치</x:v>
      </x:c>
      <x:c r="P214" s="73" t="str">
        <x:v>outputs/full-plan-20260719/104-functional-operations.json</x:v>
      </x:c>
    </x:row>
    <x:row r="215">
      <x:c r="A215" s="80" t="n">
        <x:v>211</x:v>
      </x:c>
      <x:c r="B215" s="81" t="str">
        <x:v>ANC-013</x:v>
      </x:c>
      <x:c r="C215" s="73" t="str">
        <x:v>7.13 부가서비스 등록</x:v>
      </x:c>
      <x:c r="D215" s="81" t="str">
        <x:v>P0</x:v>
      </x:c>
      <x:c r="E215" s="73" t="str"/>
      <x:c r="F215" s="73" t="str">
        <x:v>dashboard/operations/ancillary.html</x:v>
      </x:c>
      <x:c r="G215" s="73" t="str">
        <x:v>미완료 전환 재진입</x:v>
      </x:c>
      <x:c r="H215" s="73" t="str">
        <x:v>상세 닫기/재오픈/새로고침 후 미완료 상태 유지</x:v>
      </x:c>
      <x:c r="I215" s="81" t="str">
        <x:v>PASS</x:v>
      </x:c>
      <x:c r="J215" s="81" t="str">
        <x:v>성공</x:v>
      </x:c>
      <x:c r="K215" s="81" t="str">
        <x:v>수정 없음</x:v>
      </x:c>
      <x:c r="L215" s="73" t="str"/>
      <x:c r="M215" s="73" t="str"/>
      <x:c r="N215" s="73" t="str"/>
      <x:c r="O215" s="73" t="str">
        <x:v>기대 결과와 일치</x:v>
      </x:c>
      <x:c r="P215" s="73" t="str">
        <x:v>outputs/full-plan-20260719/104-functional-operations.json</x:v>
      </x:c>
    </x:row>
    <x:row r="216">
      <x:c r="A216" s="80" t="n">
        <x:v>212</x:v>
      </x:c>
      <x:c r="B216" s="81" t="str">
        <x:v>ANC-014</x:v>
      </x:c>
      <x:c r="C216" s="73" t="str">
        <x:v>7.13 부가서비스 등록</x:v>
      </x:c>
      <x:c r="D216" s="81" t="str">
        <x:v>P0</x:v>
      </x:c>
      <x:c r="E216" s="73" t="str"/>
      <x:c r="F216" s="73" t="str">
        <x:v>dashboard/operations/ancillary.html</x:v>
      </x:c>
      <x:c r="G216" s="73" t="str">
        <x:v>미완료 전환 감사 로그</x:v>
      </x:c>
      <x:c r="H216" s="73" t="str">
        <x:v>주문/객실/투숙객/항목/금액/이전·변경 상태 기록</x:v>
      </x:c>
      <x:c r="I216" s="81" t="str">
        <x:v>PASS</x:v>
      </x:c>
      <x:c r="J216" s="81" t="str">
        <x:v>성공</x:v>
      </x:c>
      <x:c r="K216" s="81" t="str">
        <x:v>수정 없음</x:v>
      </x:c>
      <x:c r="L216" s="73" t="str"/>
      <x:c r="M216" s="73" t="str"/>
      <x:c r="N216" s="73" t="str"/>
      <x:c r="O216" s="73" t="str">
        <x:v>기대 결과와 일치</x:v>
      </x:c>
      <x:c r="P216" s="73" t="str">
        <x:v>outputs/full-plan-20260719/104-functional-operations.json</x:v>
      </x:c>
    </x:row>
    <x:row r="217">
      <x:c r="A217" s="80" t="n">
        <x:v>213</x:v>
      </x:c>
      <x:c r="B217" s="81" t="str">
        <x:v>ANC-015</x:v>
      </x:c>
      <x:c r="C217" s="73" t="str">
        <x:v>7.13 부가서비스 등록</x:v>
      </x:c>
      <x:c r="D217" s="81" t="str">
        <x:v>P0</x:v>
      </x:c>
      <x:c r="E217" s="73" t="str"/>
      <x:c r="F217" s="73" t="str">
        <x:v>dashboard/operations/ancillary.html</x:v>
      </x:c>
      <x:c r="G217" s="73" t="str">
        <x:v>권한 없는 미완료 전환</x:v>
      </x:c>
      <x:c r="H217" s="73" t="str">
        <x:v>버튼 미노출 또는 실행 차단, 로그 오기록 없음</x:v>
      </x:c>
      <x:c r="I217" s="81" t="str">
        <x:v>PASS</x:v>
      </x:c>
      <x:c r="J217" s="81" t="str">
        <x:v>성공</x:v>
      </x:c>
      <x:c r="K217" s="81" t="str">
        <x:v>수정 없음</x:v>
      </x:c>
      <x:c r="L217" s="73" t="str"/>
      <x:c r="M217" s="73" t="str"/>
      <x:c r="N217" s="73" t="str"/>
      <x:c r="O217" s="73" t="str">
        <x:v>기대 결과와 일치</x:v>
      </x:c>
      <x:c r="P217" s="73" t="str">
        <x:v>outputs/full-plan-20260719/104-functional-operations.json</x:v>
      </x:c>
    </x:row>
    <x:row r="218">
      <x:c r="A218" s="80" t="n">
        <x:v>214</x:v>
      </x:c>
      <x:c r="B218" s="81" t="str">
        <x:v>ANC-016</x:v>
      </x:c>
      <x:c r="C218" s="73" t="str">
        <x:v>7.13 부가서비스 등록</x:v>
      </x:c>
      <x:c r="D218" s="81" t="str">
        <x:v>P0</x:v>
      </x:c>
      <x:c r="E218" s="73" t="str"/>
      <x:c r="F218" s="73" t="str">
        <x:v>dashboard/operations/ancillary.html</x:v>
      </x:c>
      <x:c r="G218" s="73" t="str">
        <x:v>주문 수정/삭제</x:v>
      </x:c>
      <x:c r="H218" s="73" t="str">
        <x:v>완료 상태 제한, 합계/KPI/정산 재계산</x:v>
      </x:c>
      <x:c r="I218" s="81" t="str">
        <x:v>PASS</x:v>
      </x:c>
      <x:c r="J218" s="81" t="str">
        <x:v>성공</x:v>
      </x:c>
      <x:c r="K218" s="81" t="str">
        <x:v>수정 없음</x:v>
      </x:c>
      <x:c r="L218" s="73" t="str"/>
      <x:c r="M218" s="73" t="str"/>
      <x:c r="N218" s="73" t="str"/>
      <x:c r="O218" s="73" t="str">
        <x:v>기대 결과와 일치</x:v>
      </x:c>
      <x:c r="P218" s="73" t="str">
        <x:v>outputs/full-plan-20260719/104-functional-operations.json</x:v>
      </x:c>
    </x:row>
    <x:row r="219">
      <x:c r="A219" s="80" t="n">
        <x:v>215</x:v>
      </x:c>
      <x:c r="B219" s="81" t="str">
        <x:v>ANC-017</x:v>
      </x:c>
      <x:c r="C219" s="73" t="str">
        <x:v>7.13 부가서비스 등록</x:v>
      </x:c>
      <x:c r="D219" s="81" t="str">
        <x:v>P1</x:v>
      </x:c>
      <x:c r="E219" s="73" t="str"/>
      <x:c r="F219" s="73" t="str">
        <x:v>dashboard/operations/ancillary.html</x:v>
      </x:c>
      <x:c r="G219" s="73" t="str">
        <x:v>상세 카드 요약</x:v>
      </x:c>
      <x:c r="H219" s="73" t="str">
        <x:v>통합 POS/골프/렌터카/음식점/기타/합산이 한 줄 규칙으로 표시</x:v>
      </x:c>
      <x:c r="I219" s="81" t="str">
        <x:v>PASS</x:v>
      </x:c>
      <x:c r="J219" s="81" t="str">
        <x:v>성공</x:v>
      </x:c>
      <x:c r="K219" s="81" t="str">
        <x:v>수정 없음</x:v>
      </x:c>
      <x:c r="L219" s="73" t="str"/>
      <x:c r="M219" s="73" t="str"/>
      <x:c r="N219" s="73" t="str"/>
      <x:c r="O219" s="73" t="str">
        <x:v>기대 결과와 일치</x:v>
      </x:c>
      <x:c r="P219" s="73" t="str">
        <x:v>outputs/full-plan-20260719/104-functional-operations.json</x:v>
      </x:c>
    </x:row>
    <x:row r="220">
      <x:c r="A220" s="80" t="n">
        <x:v>216</x:v>
      </x:c>
      <x:c r="B220" s="81" t="str">
        <x:v>ANC-018</x:v>
      </x:c>
      <x:c r="C220" s="73" t="str">
        <x:v>7.13 부가서비스 등록</x:v>
      </x:c>
      <x:c r="D220" s="81" t="str">
        <x:v>P1</x:v>
      </x:c>
      <x:c r="E220" s="73" t="str"/>
      <x:c r="F220" s="73" t="str">
        <x:v>dashboard/operations/ancillary.html</x:v>
      </x:c>
      <x:c r="G220" s="73" t="str">
        <x:v>이용 내역 다건</x:v>
      </x:c>
      <x:c r="H220" s="73" t="str">
        <x:v>스크롤, 정렬, 상태 액션이 안정적</x:v>
      </x:c>
      <x:c r="I220" s="81" t="str">
        <x:v>PASS</x:v>
      </x:c>
      <x:c r="J220" s="81" t="str">
        <x:v>성공</x:v>
      </x:c>
      <x:c r="K220" s="81" t="str">
        <x:v>수정 없음</x:v>
      </x:c>
      <x:c r="L220" s="73" t="str"/>
      <x:c r="M220" s="73" t="str"/>
      <x:c r="N220" s="73" t="str"/>
      <x:c r="O220" s="73" t="str">
        <x:v>기대 결과와 일치</x:v>
      </x:c>
      <x:c r="P220" s="73" t="str">
        <x:v>outputs/full-plan-20260719/104-functional-operations.json</x:v>
      </x:c>
    </x:row>
    <x:row r="221">
      <x:c r="A221" s="80" t="n">
        <x:v>217</x:v>
      </x:c>
      <x:c r="B221" s="81" t="str">
        <x:v>ANC-019</x:v>
      </x:c>
      <x:c r="C221" s="73" t="str">
        <x:v>7.13 부가서비스 등록</x:v>
      </x:c>
      <x:c r="D221" s="81" t="str">
        <x:v>P1</x:v>
      </x:c>
      <x:c r="E221" s="73" t="str"/>
      <x:c r="F221" s="73" t="str">
        <x:v>dashboard/operations/ancillary.html</x:v>
      </x:c>
      <x:c r="G221" s="73" t="str">
        <x:v>검색</x:v>
      </x:c>
      <x:c r="H221" s="73" t="str">
        <x:v>객실/고객/단체명 조건과 필터 교집합</x:v>
      </x:c>
      <x:c r="I221" s="81" t="str">
        <x:v>PASS</x:v>
      </x:c>
      <x:c r="J221" s="81" t="str">
        <x:v>성공</x:v>
      </x:c>
      <x:c r="K221" s="81" t="str">
        <x:v>수정 없음</x:v>
      </x:c>
      <x:c r="L221" s="73" t="str"/>
      <x:c r="M221" s="73" t="str"/>
      <x:c r="N221" s="73" t="str"/>
      <x:c r="O221" s="73" t="str">
        <x:v>기대 결과와 일치</x:v>
      </x:c>
      <x:c r="P221" s="73" t="str">
        <x:v>outputs/full-plan-20260719/104-functional-operations.json</x:v>
      </x:c>
    </x:row>
    <x:row r="222">
      <x:c r="A222" s="80" t="n">
        <x:v>218</x:v>
      </x:c>
      <x:c r="B222" s="81" t="str">
        <x:v>ANC-020</x:v>
      </x:c>
      <x:c r="C222" s="73" t="str">
        <x:v>7.13 부가서비스 등록</x:v>
      </x:c>
      <x:c r="D222" s="81" t="str">
        <x:v>P1</x:v>
      </x:c>
      <x:c r="E222" s="73" t="str"/>
      <x:c r="F222" s="73" t="str">
        <x:v>dashboard/operations/ancillary.html</x:v>
      </x:c>
      <x:c r="G222" s="73" t="str">
        <x:v>서비스 순서</x:v>
      </x:c>
      <x:c r="H222" s="73" t="str">
        <x:v>통합 POS → 골프 → 렌터카 → 음식점 → 기타 순서 고정</x:v>
      </x:c>
      <x:c r="I222" s="81" t="str">
        <x:v>PASS</x:v>
      </x:c>
      <x:c r="J222" s="81" t="str">
        <x:v>성공</x:v>
      </x:c>
      <x:c r="K222" s="81" t="str">
        <x:v>수정 없음</x:v>
      </x:c>
      <x:c r="L222" s="73" t="str"/>
      <x:c r="M222" s="73" t="str"/>
      <x:c r="N222" s="73" t="str"/>
      <x:c r="O222" s="73" t="str">
        <x:v>기대 결과와 일치</x:v>
      </x:c>
      <x:c r="P222" s="73" t="str">
        <x:v>outputs/full-plan-20260719/104-functional-operations.json</x:v>
      </x:c>
    </x:row>
    <x:row r="223">
      <x:c r="A223" s="80" t="n">
        <x:v>219</x:v>
      </x:c>
      <x:c r="B223" s="81" t="str">
        <x:v>ANC-021</x:v>
      </x:c>
      <x:c r="C223" s="73" t="str">
        <x:v>7.13 부가서비스 등록</x:v>
      </x:c>
      <x:c r="D223" s="81" t="str">
        <x:v>P1</x:v>
      </x:c>
      <x:c r="E223" s="73" t="str"/>
      <x:c r="F223" s="73" t="str">
        <x:v>dashboard/operations/ancillary.html</x:v>
      </x:c>
      <x:c r="G223" s="73" t="str">
        <x:v>EN/KO 전환 후 데이터 유지</x:v>
      </x:c>
      <x:c r="H223" s="73" t="str">
        <x:v>필터 후 언어 전환해도 카드/주문이 사라지지 않음</x:v>
      </x:c>
      <x:c r="I223" s="81" t="str">
        <x:v>PASS</x:v>
      </x:c>
      <x:c r="J223" s="81" t="str">
        <x:v>성공</x:v>
      </x:c>
      <x:c r="K223" s="81" t="str">
        <x:v>수정 없음</x:v>
      </x:c>
      <x:c r="L223" s="73" t="str"/>
      <x:c r="M223" s="73" t="str"/>
      <x:c r="N223" s="73" t="str"/>
      <x:c r="O223" s="73" t="str">
        <x:v>기대 결과와 일치</x:v>
      </x:c>
      <x:c r="P223" s="73" t="str">
        <x:v>outputs/full-plan-20260719/104-functional-operations.json</x:v>
      </x:c>
    </x:row>
    <x:row r="224">
      <x:c r="A224" s="80" t="n">
        <x:v>220</x:v>
      </x:c>
      <x:c r="B224" s="81" t="str">
        <x:v>ANC-022</x:v>
      </x:c>
      <x:c r="C224" s="73" t="str">
        <x:v>7.13 부가서비스 등록</x:v>
      </x:c>
      <x:c r="D224" s="81" t="str">
        <x:v>P1</x:v>
      </x:c>
      <x:c r="E224" s="73" t="str"/>
      <x:c r="F224" s="73" t="str">
        <x:v>dashboard/operations/ancillary.html</x:v>
      </x:c>
      <x:c r="G224" s="73" t="str">
        <x:v>모바일 상세 팝업</x:v>
      </x:c>
      <x:c r="H224" s="73" t="str">
        <x:v>카드 터치, 추가 등록, 완료/미완료 액션 가능</x:v>
      </x:c>
      <x:c r="I224" s="81" t="str">
        <x:v>PASS</x:v>
      </x:c>
      <x:c r="J224" s="81" t="str">
        <x:v>성공</x:v>
      </x:c>
      <x:c r="K224" s="81" t="str">
        <x:v>수정 없음</x:v>
      </x:c>
      <x:c r="L224" s="73" t="str"/>
      <x:c r="M224" s="73" t="str"/>
      <x:c r="N224" s="73" t="str"/>
      <x:c r="O224" s="73" t="str">
        <x:v>기대 결과와 일치</x:v>
      </x:c>
      <x:c r="P224" s="73" t="str">
        <x:v>outputs/full-plan-20260719/104-functional-operations.json</x:v>
      </x:c>
    </x:row>
    <x:row r="225">
      <x:c r="A225" s="80" t="n">
        <x:v>221</x:v>
      </x:c>
      <x:c r="B225" s="81" t="str">
        <x:v>ANC-VND-001</x:v>
      </x:c>
      <x:c r="C225" s="73" t="str">
        <x:v>7.14 업체/항목 관리 및 바우처</x:v>
      </x:c>
      <x:c r="D225" s="81" t="str">
        <x:v>P0</x:v>
      </x:c>
      <x:c r="E225" s="73" t="str"/>
      <x:c r="F225" s="73" t="str">
        <x:v>dashboard/operations/ancillary-vendors.html</x:v>
      </x:c>
      <x:c r="G225" s="73" t="str">
        <x:v>카테고리 순서 확인</x:v>
      </x:c>
      <x:c r="H225" s="73" t="str">
        <x:v>통합 POS → 골프 → 렌터카 → 음식점 → 기타</x:v>
      </x:c>
      <x:c r="I225" s="81" t="str">
        <x:v>PASS</x:v>
      </x:c>
      <x:c r="J225" s="81" t="str">
        <x:v>성공</x:v>
      </x:c>
      <x:c r="K225" s="81" t="str">
        <x:v>수정 없음</x:v>
      </x:c>
      <x:c r="L225" s="73" t="str"/>
      <x:c r="M225" s="73" t="str"/>
      <x:c r="N225" s="73" t="str"/>
      <x:c r="O225" s="73" t="str">
        <x:v>기대 결과와 일치</x:v>
      </x:c>
      <x:c r="P225" s="73" t="str">
        <x:v>outputs/full-plan-20260719/104-functional-operations.json</x:v>
      </x:c>
    </x:row>
    <x:row r="226">
      <x:c r="A226" s="80" t="n">
        <x:v>222</x:v>
      </x:c>
      <x:c r="B226" s="81" t="str">
        <x:v>ANC-VND-002</x:v>
      </x:c>
      <x:c r="C226" s="73" t="str">
        <x:v>7.14 업체/항목 관리 및 바우처</x:v>
      </x:c>
      <x:c r="D226" s="81" t="str">
        <x:v>P0</x:v>
      </x:c>
      <x:c r="E226" s="73" t="str"/>
      <x:c r="F226" s="73" t="str">
        <x:v>dashboard/operations/ancillary-vendors.html</x:v>
      </x:c>
      <x:c r="G226" s="73" t="str">
        <x:v>업체 신규 등록</x:v>
      </x:c>
      <x:c r="H226" s="73" t="str">
        <x:v>카테고리별 필수 기본정보 저장</x:v>
      </x:c>
      <x:c r="I226" s="81" t="str">
        <x:v>PASS</x:v>
      </x:c>
      <x:c r="J226" s="81" t="str">
        <x:v>성공</x:v>
      </x:c>
      <x:c r="K226" s="81" t="str">
        <x:v>수정 없음</x:v>
      </x:c>
      <x:c r="L226" s="73" t="str"/>
      <x:c r="M226" s="73" t="str"/>
      <x:c r="N226" s="73" t="str"/>
      <x:c r="O226" s="73" t="str">
        <x:v>기대 결과와 일치</x:v>
      </x:c>
      <x:c r="P226" s="73" t="str">
        <x:v>outputs/full-plan-20260719/104-functional-operations.json</x:v>
      </x:c>
    </x:row>
    <x:row r="227">
      <x:c r="A227" s="80" t="n">
        <x:v>223</x:v>
      </x:c>
      <x:c r="B227" s="81" t="str">
        <x:v>ANC-VND-003</x:v>
      </x:c>
      <x:c r="C227" s="73" t="str">
        <x:v>7.14 업체/항목 관리 및 바우처</x:v>
      </x:c>
      <x:c r="D227" s="81" t="str">
        <x:v>P0</x:v>
      </x:c>
      <x:c r="E227" s="73" t="str"/>
      <x:c r="F227" s="73" t="str">
        <x:v>dashboard/operations/ancillary-vendors.html</x:v>
      </x:c>
      <x:c r="G227" s="73" t="str">
        <x:v>업체 수정/삭제</x:v>
      </x:c>
      <x:c r="H227" s="73" t="str">
        <x:v>주문 연결 여부에 따른 안전한 수정/삭제</x:v>
      </x:c>
      <x:c r="I227" s="81" t="str">
        <x:v>PASS</x:v>
      </x:c>
      <x:c r="J227" s="81" t="str">
        <x:v>성공</x:v>
      </x:c>
      <x:c r="K227" s="81" t="str">
        <x:v>수정 없음</x:v>
      </x:c>
      <x:c r="L227" s="73" t="str"/>
      <x:c r="M227" s="73" t="str"/>
      <x:c r="N227" s="73" t="str"/>
      <x:c r="O227" s="73" t="str">
        <x:v>기대 결과와 일치</x:v>
      </x:c>
      <x:c r="P227" s="73" t="str">
        <x:v>outputs/full-plan-20260719/104-functional-operations.json</x:v>
      </x:c>
    </x:row>
    <x:row r="228">
      <x:c r="A228" s="80" t="n">
        <x:v>224</x:v>
      </x:c>
      <x:c r="B228" s="81" t="str">
        <x:v>ANC-VND-004</x:v>
      </x:c>
      <x:c r="C228" s="73" t="str">
        <x:v>7.14 업체/항목 관리 및 바우처</x:v>
      </x:c>
      <x:c r="D228" s="81" t="str">
        <x:v>P0</x:v>
      </x:c>
      <x:c r="E228" s="73" t="str"/>
      <x:c r="F228" s="73" t="str">
        <x:v>dashboard/operations/ancillary-vendors.html</x:v>
      </x:c>
      <x:c r="G228" s="73" t="str">
        <x:v>항목 신규 등록</x:v>
      </x:c>
      <x:c r="H228" s="73" t="str">
        <x:v>항목명, 금액, 설명, 기준 인원/수량 저장</x:v>
      </x:c>
      <x:c r="I228" s="81" t="str">
        <x:v>PASS</x:v>
      </x:c>
      <x:c r="J228" s="81" t="str">
        <x:v>성공</x:v>
      </x:c>
      <x:c r="K228" s="81" t="str">
        <x:v>수정 없음</x:v>
      </x:c>
      <x:c r="L228" s="73" t="str"/>
      <x:c r="M228" s="73" t="str"/>
      <x:c r="N228" s="73" t="str"/>
      <x:c r="O228" s="73" t="str">
        <x:v>기대 결과와 일치</x:v>
      </x:c>
      <x:c r="P228" s="73" t="str">
        <x:v>outputs/full-plan-20260719/104-functional-operations.json</x:v>
      </x:c>
    </x:row>
    <x:row r="229">
      <x:c r="A229" s="80" t="n">
        <x:v>225</x:v>
      </x:c>
      <x:c r="B229" s="81" t="str">
        <x:v>ANC-VND-005</x:v>
      </x:c>
      <x:c r="C229" s="73" t="str">
        <x:v>7.14 업체/항목 관리 및 바우처</x:v>
      </x:c>
      <x:c r="D229" s="81" t="str">
        <x:v>P0</x:v>
      </x:c>
      <x:c r="E229" s="73" t="str"/>
      <x:c r="F229" s="73" t="str">
        <x:v>dashboard/operations/ancillary-vendors.html</x:v>
      </x:c>
      <x:c r="G229" s="73" t="str">
        <x:v>금액 통화/숫자 검증</x:v>
      </x:c>
      <x:c r="H229" s="73" t="str">
        <x:v>호텔 설정 통화 기본값, 음수/비숫자/과다값 차단</x:v>
      </x:c>
      <x:c r="I229" s="81" t="str">
        <x:v>PASS</x:v>
      </x:c>
      <x:c r="J229" s="81" t="str">
        <x:v>성공</x:v>
      </x:c>
      <x:c r="K229" s="81" t="str">
        <x:v>수정 없음</x:v>
      </x:c>
      <x:c r="L229" s="73" t="str"/>
      <x:c r="M229" s="73" t="str"/>
      <x:c r="N229" s="73" t="str"/>
      <x:c r="O229" s="73" t="str">
        <x:v>기대 결과와 일치</x:v>
      </x:c>
      <x:c r="P229" s="73" t="str">
        <x:v>outputs/full-plan-20260719/104-functional-operations.json</x:v>
      </x:c>
    </x:row>
    <x:row r="230">
      <x:c r="A230" s="80" t="n">
        <x:v>226</x:v>
      </x:c>
      <x:c r="B230" s="81" t="str">
        <x:v>ANC-VND-006</x:v>
      </x:c>
      <x:c r="C230" s="73" t="str">
        <x:v>7.14 업체/항목 관리 및 바우처</x:v>
      </x:c>
      <x:c r="D230" s="81" t="str">
        <x:v>P0</x:v>
      </x:c>
      <x:c r="E230" s="73" t="str"/>
      <x:c r="F230" s="73" t="str">
        <x:v>dashboard/operations/ancillary-vendors.html</x:v>
      </x:c>
      <x:c r="G230" s="73" t="str">
        <x:v>골프 홀 입력</x:v>
      </x:c>
      <x:c r="H230" s="73" t="str">
        <x:v>고정 select가 아닌 숫자 입력, 허용 범위 검증</x:v>
      </x:c>
      <x:c r="I230" s="81" t="str">
        <x:v>PASS</x:v>
      </x:c>
      <x:c r="J230" s="81" t="str">
        <x:v>성공</x:v>
      </x:c>
      <x:c r="K230" s="81" t="str">
        <x:v>수정 없음</x:v>
      </x:c>
      <x:c r="L230" s="73" t="str"/>
      <x:c r="M230" s="73" t="str"/>
      <x:c r="N230" s="73" t="str"/>
      <x:c r="O230" s="73" t="str">
        <x:v>기대 결과와 일치</x:v>
      </x:c>
      <x:c r="P230" s="73" t="str">
        <x:v>outputs/full-plan-20260719/104-functional-operations.json</x:v>
      </x:c>
    </x:row>
    <x:row r="231">
      <x:c r="A231" s="80" t="n">
        <x:v>227</x:v>
      </x:c>
      <x:c r="B231" s="81" t="str">
        <x:v>ANC-VND-007</x:v>
      </x:c>
      <x:c r="C231" s="73" t="str">
        <x:v>7.14 업체/항목 관리 및 바우처</x:v>
      </x:c>
      <x:c r="D231" s="81" t="str">
        <x:v>P0</x:v>
      </x:c>
      <x:c r="E231" s="73" t="str"/>
      <x:c r="F231" s="73" t="str">
        <x:v>dashboard/operations/ancillary-vendors.html</x:v>
      </x:c>
      <x:c r="G231" s="73" t="str">
        <x:v>음식점 위치/메뉴</x:v>
      </x:c>
      <x:c r="H231" s="73" t="str">
        <x:v>위치와 각 메뉴 금액/설명 표시</x:v>
      </x:c>
      <x:c r="I231" s="81" t="str">
        <x:v>PASS</x:v>
      </x:c>
      <x:c r="J231" s="81" t="str">
        <x:v>성공</x:v>
      </x:c>
      <x:c r="K231" s="81" t="str">
        <x:v>수정 없음</x:v>
      </x:c>
      <x:c r="L231" s="73" t="str"/>
      <x:c r="M231" s="73" t="str"/>
      <x:c r="N231" s="73" t="str"/>
      <x:c r="O231" s="73" t="str">
        <x:v>기대 결과와 일치</x:v>
      </x:c>
      <x:c r="P231" s="73" t="str">
        <x:v>outputs/full-plan-20260719/104-functional-operations.json</x:v>
      </x:c>
    </x:row>
    <x:row r="232">
      <x:c r="A232" s="80" t="n">
        <x:v>228</x:v>
      </x:c>
      <x:c r="B232" s="81" t="str">
        <x:v>ANC-VND-008</x:v>
      </x:c>
      <x:c r="C232" s="73" t="str">
        <x:v>7.14 업체/항목 관리 및 바우처</x:v>
      </x:c>
      <x:c r="D232" s="81" t="str">
        <x:v>P0</x:v>
      </x:c>
      <x:c r="E232" s="73" t="str"/>
      <x:c r="F232" s="73" t="str">
        <x:v>dashboard/operations/ancillary-vendors.html</x:v>
      </x:c>
      <x:c r="G232" s="73" t="str">
        <x:v>기타 업체/항목</x:v>
      </x:c>
      <x:c r="H232" s="73" t="str">
        <x:v>향후 유형과 무관하게 동적 업체/메뉴 관리</x:v>
      </x:c>
      <x:c r="I232" s="81" t="str">
        <x:v>PASS</x:v>
      </x:c>
      <x:c r="J232" s="81" t="str">
        <x:v>성공</x:v>
      </x:c>
      <x:c r="K232" s="81" t="str">
        <x:v>수정 없음</x:v>
      </x:c>
      <x:c r="L232" s="73" t="str"/>
      <x:c r="M232" s="73" t="str"/>
      <x:c r="N232" s="73" t="str"/>
      <x:c r="O232" s="73" t="str">
        <x:v>기대 결과와 일치</x:v>
      </x:c>
      <x:c r="P232" s="73" t="str">
        <x:v>outputs/full-plan-20260719/104-functional-operations.json</x:v>
      </x:c>
    </x:row>
    <x:row r="233">
      <x:c r="A233" s="80" t="n">
        <x:v>229</x:v>
      </x:c>
      <x:c r="B233" s="81" t="str">
        <x:v>ANC-VND-009</x:v>
      </x:c>
      <x:c r="C233" s="73" t="str">
        <x:v>7.14 업체/항목 관리 및 바우처</x:v>
      </x:c>
      <x:c r="D233" s="81" t="str">
        <x:v>P0</x:v>
      </x:c>
      <x:c r="E233" s="73" t="str"/>
      <x:c r="F233" s="73" t="str">
        <x:v>dashboard/operations/ancillary-vendors.html</x:v>
      </x:c>
      <x:c r="G233" s="73" t="str">
        <x:v>바우처 출력 필드 초기값</x:v>
      </x:c>
      <x:c r="H233" s="73" t="str">
        <x:v>저장된 초기값이 로드되며 사용자가 변경 가능</x:v>
      </x:c>
      <x:c r="I233" s="81" t="str">
        <x:v>PASS</x:v>
      </x:c>
      <x:c r="J233" s="81" t="str">
        <x:v>성공</x:v>
      </x:c>
      <x:c r="K233" s="81" t="str">
        <x:v>수정 없음</x:v>
      </x:c>
      <x:c r="L233" s="73" t="str"/>
      <x:c r="M233" s="73" t="str"/>
      <x:c r="N233" s="73" t="str"/>
      <x:c r="O233" s="73" t="str">
        <x:v>기대 결과와 일치</x:v>
      </x:c>
      <x:c r="P233" s="73" t="str">
        <x:v>outputs/full-plan-20260719/104-functional-operations.json</x:v>
      </x:c>
    </x:row>
    <x:row r="234">
      <x:c r="A234" s="80" t="n">
        <x:v>230</x:v>
      </x:c>
      <x:c r="B234" s="81" t="str">
        <x:v>ANC-VND-010</x:v>
      </x:c>
      <x:c r="C234" s="73" t="str">
        <x:v>7.14 업체/항목 관리 및 바우처</x:v>
      </x:c>
      <x:c r="D234" s="81" t="str">
        <x:v>P0</x:v>
      </x:c>
      <x:c r="E234" s="73" t="str"/>
      <x:c r="F234" s="73" t="str">
        <x:v>dashboard/operations/ancillary-vendors.html</x:v>
      </x:c>
      <x:c r="G234" s="73" t="str">
        <x:v>바우처 양식 저장</x:v>
      </x:c>
      <x:c r="H234" s="73" t="str">
        <x:v>변경 후 상세 출력/미리보기에 반영</x:v>
      </x:c>
      <x:c r="I234" s="81" t="str">
        <x:v>PASS</x:v>
      </x:c>
      <x:c r="J234" s="81" t="str">
        <x:v>성공</x:v>
      </x:c>
      <x:c r="K234" s="81" t="str">
        <x:v>수정 없음</x:v>
      </x:c>
      <x:c r="L234" s="73" t="str"/>
      <x:c r="M234" s="73" t="str"/>
      <x:c r="N234" s="73" t="str"/>
      <x:c r="O234" s="73" t="str">
        <x:v>기대 결과와 일치</x:v>
      </x:c>
      <x:c r="P234" s="73" t="str">
        <x:v>outputs/full-plan-20260719/104-functional-operations.json</x:v>
      </x:c>
    </x:row>
    <x:row r="235">
      <x:c r="A235" s="80" t="n">
        <x:v>231</x:v>
      </x:c>
      <x:c r="B235" s="81" t="str">
        <x:v>ANC-VND-011</x:v>
      </x:c>
      <x:c r="C235" s="73" t="str">
        <x:v>7.14 업체/항목 관리 및 바우처</x:v>
      </x:c>
      <x:c r="D235" s="81" t="str">
        <x:v>P0</x:v>
      </x:c>
      <x:c r="E235" s="73" t="str"/>
      <x:c r="F235" s="73" t="str">
        <x:v>dashboard/operations/ancillary-vendors.html</x:v>
      </x:c>
      <x:c r="G235" s="73" t="str">
        <x:v>골프 바우처 미리보기</x:v>
      </x:c>
      <x:c r="H235" s="73" t="str">
        <x:v>선택 필드, 내용 일반 굵기, 절취선 영역 정확</x:v>
      </x:c>
      <x:c r="I235" s="81" t="str">
        <x:v>PASS</x:v>
      </x:c>
      <x:c r="J235" s="81" t="str">
        <x:v>성공</x:v>
      </x:c>
      <x:c r="K235" s="81" t="str">
        <x:v>수정 없음</x:v>
      </x:c>
      <x:c r="L235" s="73" t="str"/>
      <x:c r="M235" s="73" t="str"/>
      <x:c r="N235" s="73" t="str"/>
      <x:c r="O235" s="73" t="str">
        <x:v>기대 결과와 일치</x:v>
      </x:c>
      <x:c r="P235" s="73" t="str">
        <x:v>outputs/full-plan-20260719/104-functional-operations.json</x:v>
      </x:c>
    </x:row>
    <x:row r="236">
      <x:c r="A236" s="80" t="n">
        <x:v>232</x:v>
      </x:c>
      <x:c r="B236" s="81" t="str">
        <x:v>ANC-VND-012</x:v>
      </x:c>
      <x:c r="C236" s="73" t="str">
        <x:v>7.14 업체/항목 관리 및 바우처</x:v>
      </x:c>
      <x:c r="D236" s="81" t="str">
        <x:v>P0</x:v>
      </x:c>
      <x:c r="E236" s="73" t="str"/>
      <x:c r="F236" s="73" t="str">
        <x:v>dashboard/operations/ancillary-vendors.html</x:v>
      </x:c>
      <x:c r="G236" s="73" t="str">
        <x:v>렌터카 바우처 미리보기</x:v>
      </x:c>
      <x:c r="H236" s="73" t="str">
        <x:v>렌터카 업체/주소/픽업/차량 정보 정확</x:v>
      </x:c>
      <x:c r="I236" s="81" t="str">
        <x:v>PASS</x:v>
      </x:c>
      <x:c r="J236" s="81" t="str">
        <x:v>성공</x:v>
      </x:c>
      <x:c r="K236" s="81" t="str">
        <x:v>수정 없음</x:v>
      </x:c>
      <x:c r="L236" s="73" t="str"/>
      <x:c r="M236" s="73" t="str"/>
      <x:c r="N236" s="73" t="str"/>
      <x:c r="O236" s="73" t="str">
        <x:v>기대 결과와 일치</x:v>
      </x:c>
      <x:c r="P236" s="73" t="str">
        <x:v>outputs/full-plan-20260719/104-functional-operations.json</x:v>
      </x:c>
    </x:row>
    <x:row r="237">
      <x:c r="A237" s="80" t="n">
        <x:v>233</x:v>
      </x:c>
      <x:c r="B237" s="81" t="str">
        <x:v>ANC-VND-013</x:v>
      </x:c>
      <x:c r="C237" s="73" t="str">
        <x:v>7.14 업체/항목 관리 및 바우처</x:v>
      </x:c>
      <x:c r="D237" s="81" t="str">
        <x:v>P0</x:v>
      </x:c>
      <x:c r="E237" s="73" t="str"/>
      <x:c r="F237" s="73" t="str">
        <x:v>dashboard/operations/ancillary-vendors.html</x:v>
      </x:c>
      <x:c r="G237" s="73" t="str">
        <x:v>음식점 쿠폰 미리보기</x:v>
      </x:c>
      <x:c r="H237" s="73" t="str">
        <x:v>업체/위치/메뉴/혜택/사용 조건 정확</x:v>
      </x:c>
      <x:c r="I237" s="81" t="str">
        <x:v>PASS</x:v>
      </x:c>
      <x:c r="J237" s="81" t="str">
        <x:v>성공</x:v>
      </x:c>
      <x:c r="K237" s="81" t="str">
        <x:v>수정 없음</x:v>
      </x:c>
      <x:c r="L237" s="73" t="str"/>
      <x:c r="M237" s="73" t="str"/>
      <x:c r="N237" s="73" t="str"/>
      <x:c r="O237" s="73" t="str">
        <x:v>기대 결과와 일치</x:v>
      </x:c>
      <x:c r="P237" s="73" t="str">
        <x:v>outputs/full-plan-20260719/104-functional-operations.json</x:v>
      </x:c>
    </x:row>
    <x:row r="238">
      <x:c r="A238" s="80" t="n">
        <x:v>234</x:v>
      </x:c>
      <x:c r="B238" s="81" t="str">
        <x:v>ANC-VND-014</x:v>
      </x:c>
      <x:c r="C238" s="73" t="str">
        <x:v>7.14 업체/항목 관리 및 바우처</x:v>
      </x:c>
      <x:c r="D238" s="81" t="str">
        <x:v>P1</x:v>
      </x:c>
      <x:c r="E238" s="73" t="str"/>
      <x:c r="F238" s="73" t="str">
        <x:v>dashboard/operations/ancillary-vendors.html</x:v>
      </x:c>
      <x:c r="G238" s="73" t="str">
        <x:v>단일 주문 출력</x:v>
      </x:c>
      <x:c r="H238" s="73" t="str">
        <x:v>목록 재선택 없이 바로 미리보기/출력</x:v>
      </x:c>
      <x:c r="I238" s="81" t="str">
        <x:v>BLOCKED</x:v>
      </x:c>
      <x:c r="J238" s="81" t="str">
        <x:v>차단</x:v>
      </x:c>
      <x:c r="K238" s="81" t="str">
        <x:v>검증 차단</x:v>
      </x:c>
      <x:c r="L238" s="73" t="str"/>
      <x:c r="M238" s="73" t="str">
        <x:v>OS 프린터가 연결되지 않아 바우처 실제 출력 결과를 확인할 수 없음</x:v>
      </x:c>
      <x:c r="N238" s="73" t="str"/>
      <x:c r="O238" s="73" t="str">
        <x:v>화면·데이터·브라우저 단계까지 확인했으나 실제 인쇄 검증은 외부 환경이 필요함</x:v>
      </x:c>
      <x:c r="P238" s="73" t="str">
        <x:v>outputs/full-plan-20260719/104-functional-operations.json</x:v>
      </x:c>
    </x:row>
    <x:row r="239">
      <x:c r="A239" s="80" t="n">
        <x:v>235</x:v>
      </x:c>
      <x:c r="B239" s="81" t="str">
        <x:v>ANC-VND-015</x:v>
      </x:c>
      <x:c r="C239" s="73" t="str">
        <x:v>7.14 업체/항목 관리 및 바우처</x:v>
      </x:c>
      <x:c r="D239" s="81" t="str">
        <x:v>P1</x:v>
      </x:c>
      <x:c r="E239" s="73" t="str"/>
      <x:c r="F239" s="73" t="str">
        <x:v>dashboard/operations/ancillary-vendors.html</x:v>
      </x:c>
      <x:c r="G239" s="73" t="str">
        <x:v>A4 인쇄 크기</x:v>
      </x:c>
      <x:c r="H239" s="73" t="str">
        <x:v>미리보기와 브라우저 인쇄 레이아웃 일치</x:v>
      </x:c>
      <x:c r="I239" s="81" t="str">
        <x:v>BLOCKED</x:v>
      </x:c>
      <x:c r="J239" s="81" t="str">
        <x:v>차단</x:v>
      </x:c>
      <x:c r="K239" s="81" t="str">
        <x:v>검증 차단</x:v>
      </x:c>
      <x:c r="L239" s="73" t="str"/>
      <x:c r="M239" s="73" t="str">
        <x:v>브라우저 미리보기까지 확인했으나 물리 출력 결과는 확인 불가</x:v>
      </x:c>
      <x:c r="N239" s="73" t="str"/>
      <x:c r="O239" s="73" t="str">
        <x:v>화면·데이터·브라우저 단계까지 확인했으나 실제 인쇄 검증은 외부 환경이 필요함</x:v>
      </x:c>
      <x:c r="P239" s="73" t="str">
        <x:v>outputs/full-plan-20260719/104-functional-operations.json</x:v>
      </x:c>
    </x:row>
    <x:row r="240">
      <x:c r="A240" s="80" t="n">
        <x:v>236</x:v>
      </x:c>
      <x:c r="B240" s="81" t="str">
        <x:v>ANC-VND-016</x:v>
      </x:c>
      <x:c r="C240" s="73" t="str">
        <x:v>7.14 업체/항목 관리 및 바우처</x:v>
      </x:c>
      <x:c r="D240" s="81" t="str">
        <x:v>P1</x:v>
      </x:c>
      <x:c r="E240" s="73" t="str"/>
      <x:c r="F240" s="73" t="str">
        <x:v>dashboard/operations/ancillary-vendors.html</x:v>
      </x:c>
      <x:c r="G240" s="73" t="str">
        <x:v>통합 POS 출력 제한</x:v>
      </x:c>
      <x:c r="H240" s="73" t="str">
        <x:v>미리보기/바우처 기능 미노출</x:v>
      </x:c>
      <x:c r="I240" s="81" t="str">
        <x:v>PASS</x:v>
      </x:c>
      <x:c r="J240" s="81" t="str">
        <x:v>성공</x:v>
      </x:c>
      <x:c r="K240" s="81" t="str">
        <x:v>수정 없음</x:v>
      </x:c>
      <x:c r="L240" s="73" t="str"/>
      <x:c r="M240" s="73" t="str"/>
      <x:c r="N240" s="73" t="str"/>
      <x:c r="O240" s="73" t="str">
        <x:v>기대 결과와 일치</x:v>
      </x:c>
      <x:c r="P240" s="73" t="str">
        <x:v>outputs/full-plan-20260719/104-functional-operations.json</x:v>
      </x:c>
    </x:row>
    <x:row r="241">
      <x:c r="A241" s="80" t="n">
        <x:v>237</x:v>
      </x:c>
      <x:c r="B241" s="81" t="str">
        <x:v>ANC-VND-017</x:v>
      </x:c>
      <x:c r="C241" s="73" t="str">
        <x:v>7.14 업체/항목 관리 및 바우처</x:v>
      </x:c>
      <x:c r="D241" s="81" t="str">
        <x:v>P1</x:v>
      </x:c>
      <x:c r="E241" s="73" t="str"/>
      <x:c r="F241" s="73" t="str">
        <x:v>dashboard/operations/ancillary-vendors.html</x:v>
      </x:c>
      <x:c r="G241" s="73" t="str">
        <x:v>언어 전환</x:v>
      </x:c>
      <x:c r="H241" s="73" t="str">
        <x:v>설정 라벨만 번역하고 업체/항목 사용자 입력은 유지</x:v>
      </x:c>
      <x:c r="I241" s="81" t="str">
        <x:v>PASS</x:v>
      </x:c>
      <x:c r="J241" s="81" t="str">
        <x:v>성공</x:v>
      </x:c>
      <x:c r="K241" s="81" t="str">
        <x:v>수정 없음</x:v>
      </x:c>
      <x:c r="L241" s="73" t="str"/>
      <x:c r="M241" s="73" t="str"/>
      <x:c r="N241" s="73" t="str"/>
      <x:c r="O241" s="73" t="str">
        <x:v>기대 결과와 일치</x:v>
      </x:c>
      <x:c r="P241" s="73" t="str">
        <x:v>outputs/full-plan-20260719/104-functional-operations.json</x:v>
      </x:c>
    </x:row>
    <x:row r="242">
      <x:c r="A242" s="80" t="n">
        <x:v>238</x:v>
      </x:c>
      <x:c r="B242" s="81" t="str">
        <x:v>ANC-VND-018</x:v>
      </x:c>
      <x:c r="C242" s="73" t="str">
        <x:v>7.14 업체/항목 관리 및 바우처</x:v>
      </x:c>
      <x:c r="D242" s="81" t="str">
        <x:v>P1</x:v>
      </x:c>
      <x:c r="E242" s="73" t="str"/>
      <x:c r="F242" s="73" t="str">
        <x:v>dashboard/operations/ancillary-vendors.html</x:v>
      </x:c>
      <x:c r="G242" s="73" t="str">
        <x:v>모바일 관리 화면</x:v>
      </x:c>
      <x:c r="H242" s="73" t="str">
        <x:v>탭/폼/미리보기 접근 가능, 가로 넘침 없음</x:v>
      </x:c>
      <x:c r="I242" s="81" t="str">
        <x:v>PASS</x:v>
      </x:c>
      <x:c r="J242" s="81" t="str">
        <x:v>성공</x:v>
      </x:c>
      <x:c r="K242" s="81" t="str">
        <x:v>수정 없음</x:v>
      </x:c>
      <x:c r="L242" s="73" t="str"/>
      <x:c r="M242" s="73" t="str"/>
      <x:c r="N242" s="73" t="str"/>
      <x:c r="O242" s="73" t="str">
        <x:v>기대 결과와 일치</x:v>
      </x:c>
      <x:c r="P242" s="73" t="str">
        <x:v>outputs/full-plan-20260719/104-functional-operations.json</x:v>
      </x:c>
    </x:row>
    <x:row r="243">
      <x:c r="A243" s="80" t="n">
        <x:v>239</x:v>
      </x:c>
      <x:c r="B243" s="81" t="str">
        <x:v>ANC-LEG-001</x:v>
      </x:c>
      <x:c r="C243" s="73" t="str">
        <x:v>7.15 부가서비스 호환 화면</x:v>
      </x:c>
      <x:c r="D243" s="81" t="str">
        <x:v>P0</x:v>
      </x:c>
      <x:c r="E243" s="73" t="str">
        <x:v>unified-pos</x:v>
      </x:c>
      <x:c r="F243" s="73" t="str">
        <x:v>dashboard/operations/unified-pos.html</x:v>
      </x:c>
      <x:c r="G243" s="73" t="str">
        <x:v>주문 등록/수정/삭제</x:v>
      </x:c>
      <x:c r="H243" s="73" t="str">
        <x:v>통합 부가서비스 주문과 정산에 동일 반영</x:v>
      </x:c>
      <x:c r="I243" s="81" t="str">
        <x:v>PASS</x:v>
      </x:c>
      <x:c r="J243" s="81" t="str">
        <x:v>성공</x:v>
      </x:c>
      <x:c r="K243" s="81" t="str">
        <x:v>수정 없음</x:v>
      </x:c>
      <x:c r="L243" s="73" t="str"/>
      <x:c r="M243" s="73" t="str"/>
      <x:c r="N243" s="73" t="str"/>
      <x:c r="O243" s="73" t="str">
        <x:v>기대 결과와 일치</x:v>
      </x:c>
      <x:c r="P243" s="73" t="str">
        <x:v>outputs/full-plan-20260719/104-functional-operations.json</x:v>
      </x:c>
    </x:row>
    <x:row r="244">
      <x:c r="A244" s="80" t="n">
        <x:v>240</x:v>
      </x:c>
      <x:c r="B244" s="81" t="str">
        <x:v>ANC-LEG-002</x:v>
      </x:c>
      <x:c r="C244" s="73" t="str">
        <x:v>7.15 부가서비스 호환 화면</x:v>
      </x:c>
      <x:c r="D244" s="81" t="str">
        <x:v>P1</x:v>
      </x:c>
      <x:c r="E244" s="73" t="str">
        <x:v>unified-pos</x:v>
      </x:c>
      <x:c r="F244" s="73" t="str">
        <x:v>dashboard/operations/unified-pos.html</x:v>
      </x:c>
      <x:c r="G244" s="73" t="str">
        <x:v>바우처 기능 확인</x:v>
      </x:c>
      <x:c r="H244" s="73" t="str">
        <x:v>통합 POS에서는 미리보기/출력 미노출</x:v>
      </x:c>
      <x:c r="I244" s="81" t="str">
        <x:v>PASS</x:v>
      </x:c>
      <x:c r="J244" s="81" t="str">
        <x:v>성공</x:v>
      </x:c>
      <x:c r="K244" s="81" t="str">
        <x:v>수정 없음</x:v>
      </x:c>
      <x:c r="L244" s="73" t="str"/>
      <x:c r="M244" s="73" t="str"/>
      <x:c r="N244" s="73" t="str"/>
      <x:c r="O244" s="73" t="str">
        <x:v>기대 결과와 일치</x:v>
      </x:c>
      <x:c r="P244" s="73" t="str">
        <x:v>outputs/full-plan-20260719/104-functional-operations.json</x:v>
      </x:c>
    </x:row>
    <x:row r="245">
      <x:c r="A245" s="80" t="n">
        <x:v>241</x:v>
      </x:c>
      <x:c r="B245" s="81" t="str">
        <x:v>ANC-LEG-003</x:v>
      </x:c>
      <x:c r="C245" s="73" t="str">
        <x:v>7.15 부가서비스 호환 화면</x:v>
      </x:c>
      <x:c r="D245" s="81" t="str">
        <x:v>P0</x:v>
      </x:c>
      <x:c r="E245" s="73" t="str">
        <x:v>pos</x:v>
      </x:c>
      <x:c r="F245" s="73" t="str">
        <x:v>dashboard/operations/unified-pos.html</x:v>
      </x:c>
      <x:c r="G245" s="73" t="str">
        <x:v>음식/POS 항목 주문</x:v>
      </x:c>
      <x:c r="H245" s="73" t="str">
        <x:v>현재 투숙객과 Folio 연결</x:v>
      </x:c>
      <x:c r="I245" s="81" t="str">
        <x:v>PASS</x:v>
      </x:c>
      <x:c r="J245" s="81" t="str">
        <x:v>성공</x:v>
      </x:c>
      <x:c r="K245" s="81" t="str">
        <x:v>수정 없음</x:v>
      </x:c>
      <x:c r="L245" s="73" t="str"/>
      <x:c r="M245" s="73" t="str"/>
      <x:c r="N245" s="73" t="str"/>
      <x:c r="O245" s="73" t="str">
        <x:v>기대 결과와 일치</x:v>
      </x:c>
      <x:c r="P245" s="73" t="str">
        <x:v>outputs/full-plan-20260719/104-functional-operations.json</x:v>
      </x:c>
    </x:row>
    <x:row r="246">
      <x:c r="A246" s="80" t="n">
        <x:v>242</x:v>
      </x:c>
      <x:c r="B246" s="81" t="str">
        <x:v>ANC-LEG-004</x:v>
      </x:c>
      <x:c r="C246" s="73" t="str">
        <x:v>7.15 부가서비스 호환 화면</x:v>
      </x:c>
      <x:c r="D246" s="81" t="str">
        <x:v>P0</x:v>
      </x:c>
      <x:c r="E246" s="73" t="str">
        <x:v>golf</x:v>
      </x:c>
      <x:c r="F246" s="73" t="str">
        <x:v>dashboard/operations/unified-pos.html</x:v>
      </x:c>
      <x:c r="G246" s="73" t="str">
        <x:v>골프 예약 등록/수정/취소</x:v>
      </x:c>
      <x:c r="H246" s="73" t="str">
        <x:v>통합 부가서비스와 중복 없이 동기화</x:v>
      </x:c>
      <x:c r="I246" s="81" t="str">
        <x:v>PASS</x:v>
      </x:c>
      <x:c r="J246" s="81" t="str">
        <x:v>성공</x:v>
      </x:c>
      <x:c r="K246" s="81" t="str">
        <x:v>수정 없음</x:v>
      </x:c>
      <x:c r="L246" s="73" t="str"/>
      <x:c r="M246" s="73" t="str"/>
      <x:c r="N246" s="73" t="str"/>
      <x:c r="O246" s="73" t="str">
        <x:v>기대 결과와 일치</x:v>
      </x:c>
      <x:c r="P246" s="73" t="str">
        <x:v>outputs/full-plan-20260719/104-functional-operations.json</x:v>
      </x:c>
    </x:row>
    <x:row r="247">
      <x:c r="A247" s="80" t="n">
        <x:v>243</x:v>
      </x:c>
      <x:c r="B247" s="81" t="str">
        <x:v>ANC-LEG-005</x:v>
      </x:c>
      <x:c r="C247" s="73" t="str">
        <x:v>7.15 부가서비스 호환 화면</x:v>
      </x:c>
      <x:c r="D247" s="81" t="str">
        <x:v>P1</x:v>
      </x:c>
      <x:c r="E247" s="73" t="str">
        <x:v>golf</x:v>
      </x:c>
      <x:c r="F247" s="73" t="str">
        <x:v>dashboard/operations/unified-pos.html</x:v>
      </x:c>
      <x:c r="G247" s="73" t="str">
        <x:v>바우처 출력</x:v>
      </x:c>
      <x:c r="H247" s="73" t="str">
        <x:v>현재 업체 설정 사용</x:v>
      </x:c>
      <x:c r="I247" s="81" t="str">
        <x:v>PASS</x:v>
      </x:c>
      <x:c r="J247" s="81" t="str">
        <x:v>성공</x:v>
      </x:c>
      <x:c r="K247" s="81" t="str">
        <x:v>수정 없음</x:v>
      </x:c>
      <x:c r="L247" s="73" t="str"/>
      <x:c r="M247" s="73" t="str"/>
      <x:c r="N247" s="73" t="str"/>
      <x:c r="O247" s="73" t="str">
        <x:v>기대 결과와 일치</x:v>
      </x:c>
      <x:c r="P247" s="73" t="str">
        <x:v>outputs/full-plan-20260719/104-functional-operations.json</x:v>
      </x:c>
    </x:row>
    <x:row r="248">
      <x:c r="A248" s="80" t="n">
        <x:v>244</x:v>
      </x:c>
      <x:c r="B248" s="81" t="str">
        <x:v>ANC-LEG-006</x:v>
      </x:c>
      <x:c r="C248" s="73" t="str">
        <x:v>7.15 부가서비스 호환 화면</x:v>
      </x:c>
      <x:c r="D248" s="81" t="str">
        <x:v>P0</x:v>
      </x:c>
      <x:c r="E248" s="73" t="str">
        <x:v>rentacar</x:v>
      </x:c>
      <x:c r="F248" s="73" t="str">
        <x:v>dashboard/operations/unified-pos.html</x:v>
      </x:c>
      <x:c r="G248" s="73" t="str">
        <x:v>렌터카 예약 등록/수정/취소</x:v>
      </x:c>
      <x:c r="H248" s="73" t="str">
        <x:v>통합 부가서비스와 동기화</x:v>
      </x:c>
      <x:c r="I248" s="81" t="str">
        <x:v>PASS</x:v>
      </x:c>
      <x:c r="J248" s="81" t="str">
        <x:v>성공</x:v>
      </x:c>
      <x:c r="K248" s="81" t="str">
        <x:v>수정 없음</x:v>
      </x:c>
      <x:c r="L248" s="73" t="str"/>
      <x:c r="M248" s="73" t="str"/>
      <x:c r="N248" s="73" t="str"/>
      <x:c r="O248" s="73" t="str">
        <x:v>기대 결과와 일치</x:v>
      </x:c>
      <x:c r="P248" s="73" t="str">
        <x:v>outputs/full-plan-20260719/104-functional-operations.json</x:v>
      </x:c>
    </x:row>
    <x:row r="249">
      <x:c r="A249" s="80" t="n">
        <x:v>245</x:v>
      </x:c>
      <x:c r="B249" s="81" t="str">
        <x:v>ANC-LEG-007</x:v>
      </x:c>
      <x:c r="C249" s="73" t="str">
        <x:v>7.15 부가서비스 호환 화면</x:v>
      </x:c>
      <x:c r="D249" s="81" t="str">
        <x:v>P1</x:v>
      </x:c>
      <x:c r="E249" s="73" t="str">
        <x:v>rentacar</x:v>
      </x:c>
      <x:c r="F249" s="73" t="str">
        <x:v>dashboard/operations/unified-pos.html</x:v>
      </x:c>
      <x:c r="G249" s="73" t="str">
        <x:v>바우처 출력</x:v>
      </x:c>
      <x:c r="H249" s="73" t="str">
        <x:v>렌터카 전용 양식 사용</x:v>
      </x:c>
      <x:c r="I249" s="81" t="str">
        <x:v>PASS</x:v>
      </x:c>
      <x:c r="J249" s="81" t="str">
        <x:v>성공</x:v>
      </x:c>
      <x:c r="K249" s="81" t="str">
        <x:v>수정 없음</x:v>
      </x:c>
      <x:c r="L249" s="73" t="str"/>
      <x:c r="M249" s="73" t="str"/>
      <x:c r="N249" s="73" t="str"/>
      <x:c r="O249" s="73" t="str">
        <x:v>기대 결과와 일치</x:v>
      </x:c>
      <x:c r="P249" s="73" t="str">
        <x:v>outputs/full-plan-20260719/104-functional-operations.json</x:v>
      </x:c>
    </x:row>
    <x:row r="250">
      <x:c r="A250" s="80" t="n">
        <x:v>246</x:v>
      </x:c>
      <x:c r="B250" s="81" t="str">
        <x:v>ANC-LEG-008</x:v>
      </x:c>
      <x:c r="C250" s="73" t="str">
        <x:v>7.15 부가서비스 호환 화면</x:v>
      </x:c>
      <x:c r="D250" s="81" t="str">
        <x:v>P0</x:v>
      </x:c>
      <x:c r="E250" s="73" t="str">
        <x:v>room-service</x:v>
      </x:c>
      <x:c r="F250" s="73" t="str">
        <x:v>dashboard/operations/unified-pos.html</x:v>
      </x:c>
      <x:c r="G250" s="73" t="str">
        <x:v>룸서비스 등록/상태 변경</x:v>
      </x:c>
      <x:c r="H250" s="73" t="str">
        <x:v>객실/투숙객/Folio 연결</x:v>
      </x:c>
      <x:c r="I250" s="81" t="str">
        <x:v>PASS</x:v>
      </x:c>
      <x:c r="J250" s="81" t="str">
        <x:v>성공</x:v>
      </x:c>
      <x:c r="K250" s="81" t="str">
        <x:v>수정 없음</x:v>
      </x:c>
      <x:c r="L250" s="73" t="str"/>
      <x:c r="M250" s="73" t="str"/>
      <x:c r="N250" s="73" t="str"/>
      <x:c r="O250" s="73" t="str">
        <x:v>기대 결과와 일치</x:v>
      </x:c>
      <x:c r="P250" s="73" t="str">
        <x:v>outputs/full-plan-20260719/104-functional-operations.json</x:v>
      </x:c>
    </x:row>
    <x:row r="251">
      <x:c r="A251" s="80" t="n">
        <x:v>247</x:v>
      </x:c>
      <x:c r="B251" s="81" t="str">
        <x:v>ANC-LEG-009</x:v>
      </x:c>
      <x:c r="C251" s="73" t="str">
        <x:v>7.15 부가서비스 호환 화면</x:v>
      </x:c>
      <x:c r="D251" s="81" t="str">
        <x:v>P1</x:v>
      </x:c>
      <x:c r="E251" s="73" t="str">
        <x:v>events</x:v>
      </x:c>
      <x:c r="F251" s="73" t="str">
        <x:v>dashboard/operations/unified-pos.html</x:v>
      </x:c>
      <x:c r="G251" s="73" t="str">
        <x:v>제휴 이벤트 목록/상세</x:v>
      </x:c>
      <x:c r="H251" s="73" t="str">
        <x:v>카테고리별 이미지/내용/담당자 정확</x:v>
      </x:c>
      <x:c r="I251" s="81" t="str">
        <x:v>PASS</x:v>
      </x:c>
      <x:c r="J251" s="81" t="str">
        <x:v>성공</x:v>
      </x:c>
      <x:c r="K251" s="81" t="str">
        <x:v>수정 없음</x:v>
      </x:c>
      <x:c r="L251" s="73" t="str"/>
      <x:c r="M251" s="73" t="str"/>
      <x:c r="N251" s="73" t="str"/>
      <x:c r="O251" s="73" t="str">
        <x:v>기대 결과와 일치</x:v>
      </x:c>
      <x:c r="P251" s="73" t="str">
        <x:v>outputs/full-plan-20260719/104-functional-operations.json</x:v>
      </x:c>
    </x:row>
    <x:row r="252">
      <x:c r="A252" s="80" t="n">
        <x:v>248</x:v>
      </x:c>
      <x:c r="B252" s="81" t="str">
        <x:v>ANC-LEG-010</x:v>
      </x:c>
      <x:c r="C252" s="73" t="str">
        <x:v>7.15 부가서비스 호환 화면</x:v>
      </x:c>
      <x:c r="D252" s="81" t="str">
        <x:v>P1</x:v>
      </x:c>
      <x:c r="E252" s="73" t="str">
        <x:v>events</x:v>
      </x:c>
      <x:c r="F252" s="73" t="str">
        <x:v>dashboard/operations/unified-pos.html</x:v>
      </x:c>
      <x:c r="G252" s="73" t="str">
        <x:v>이벤트 기간/빈 업체</x:v>
      </x:c>
      <x:c r="H252" s="73" t="str">
        <x:v>적용 기간/주소 줄바꿈, 잘못된 빈 상세 팝업 없음</x:v>
      </x:c>
      <x:c r="I252" s="81" t="str">
        <x:v>PASS</x:v>
      </x:c>
      <x:c r="J252" s="81" t="str">
        <x:v>성공</x:v>
      </x:c>
      <x:c r="K252" s="81" t="str">
        <x:v>수정 없음</x:v>
      </x:c>
      <x:c r="L252" s="73" t="str"/>
      <x:c r="M252" s="73" t="str"/>
      <x:c r="N252" s="73" t="str"/>
      <x:c r="O252" s="73" t="str">
        <x:v>기대 결과와 일치</x:v>
      </x:c>
      <x:c r="P252" s="73" t="str">
        <x:v>outputs/full-plan-20260719/104-functional-operations.json</x:v>
      </x:c>
    </x:row>
    <x:row r="253">
      <x:c r="A253" s="80" t="n">
        <x:v>249</x:v>
      </x:c>
      <x:c r="B253" s="81" t="str">
        <x:v>SETTLE-STATUS-001</x:v>
      </x:c>
      <x:c r="C253" s="73" t="str">
        <x:v>7.16 정산 현황</x:v>
      </x:c>
      <x:c r="D253" s="81" t="str">
        <x:v>P0</x:v>
      </x:c>
      <x:c r="E253" s="73" t="str"/>
      <x:c r="F253" s="73" t="str">
        <x:v>dashboard/operations/settlement-status.html</x:v>
      </x:c>
      <x:c r="G253" s="73" t="str">
        <x:v>전체/처리 대상/미수금/예치금/환불/단체/완료 필터</x:v>
      </x:c>
      <x:c r="H253" s="73" t="str">
        <x:v>상태 정의, 카드 수, KPI 일치</x:v>
      </x:c>
      <x:c r="I253" s="81" t="str">
        <x:v>PASS</x:v>
      </x:c>
      <x:c r="J253" s="81" t="str">
        <x:v>성공</x:v>
      </x:c>
      <x:c r="K253" s="81" t="str">
        <x:v>수정 없음</x:v>
      </x:c>
      <x:c r="L253" s="73" t="str"/>
      <x:c r="M253" s="73" t="str"/>
      <x:c r="N253" s="73" t="str"/>
      <x:c r="O253" s="73" t="str">
        <x:v>기대 결과와 일치</x:v>
      </x:c>
      <x:c r="P253" s="73" t="str">
        <x:v>outputs/full-plan-20260719/104-functional-operations.json</x:v>
      </x:c>
    </x:row>
    <x:row r="254">
      <x:c r="A254" s="80" t="n">
        <x:v>250</x:v>
      </x:c>
      <x:c r="B254" s="81" t="str">
        <x:v>SETTLE-STATUS-002</x:v>
      </x:c>
      <x:c r="C254" s="73" t="str">
        <x:v>7.16 정산 현황</x:v>
      </x:c>
      <x:c r="D254" s="81" t="str">
        <x:v>P0</x:v>
      </x:c>
      <x:c r="E254" s="73" t="str"/>
      <x:c r="F254" s="73" t="str">
        <x:v>dashboard/operations/settlement-status.html</x:v>
      </x:c>
      <x:c r="G254" s="73" t="str">
        <x:v>카드/행 전체 클릭</x:v>
      </x:c>
      <x:c r="H254" s="73" t="str">
        <x:v>데스크톱/태블릿/모바일에서 정확한 상세 팝업 열림</x:v>
      </x:c>
      <x:c r="I254" s="81" t="str">
        <x:v>PASS</x:v>
      </x:c>
      <x:c r="J254" s="81" t="str">
        <x:v>성공</x:v>
      </x:c>
      <x:c r="K254" s="81" t="str">
        <x:v>수정 없음</x:v>
      </x:c>
      <x:c r="L254" s="73" t="str"/>
      <x:c r="M254" s="73" t="str"/>
      <x:c r="N254" s="73" t="str"/>
      <x:c r="O254" s="73" t="str">
        <x:v>기대 결과와 일치</x:v>
      </x:c>
      <x:c r="P254" s="73" t="str">
        <x:v>outputs/full-plan-20260719/104-functional-operations.json</x:v>
      </x:c>
    </x:row>
    <x:row r="255">
      <x:c r="A255" s="80" t="n">
        <x:v>251</x:v>
      </x:c>
      <x:c r="B255" s="81" t="str">
        <x:v>SETTLE-STATUS-003</x:v>
      </x:c>
      <x:c r="C255" s="73" t="str">
        <x:v>7.16 정산 현황</x:v>
      </x:c>
      <x:c r="D255" s="81" t="str">
        <x:v>P0</x:v>
      </x:c>
      <x:c r="E255" s="73" t="str"/>
      <x:c r="F255" s="73" t="str">
        <x:v>dashboard/operations/settlement-status.html</x:v>
      </x:c>
      <x:c r="G255" s="73" t="str">
        <x:v>목록에서 수납 등록</x:v>
      </x:c>
      <x:c r="H255" s="73" t="str">
        <x:v>팝업에서 통화/금액/결제수단/메모 저장</x:v>
      </x:c>
      <x:c r="I255" s="81" t="str">
        <x:v>PASS</x:v>
      </x:c>
      <x:c r="J255" s="81" t="str">
        <x:v>성공</x:v>
      </x:c>
      <x:c r="K255" s="81" t="str">
        <x:v>수정 없음</x:v>
      </x:c>
      <x:c r="L255" s="73" t="str"/>
      <x:c r="M255" s="73" t="str"/>
      <x:c r="N255" s="73" t="str"/>
      <x:c r="O255" s="73" t="str">
        <x:v>기대 결과와 일치</x:v>
      </x:c>
      <x:c r="P255" s="73" t="str">
        <x:v>outputs/full-plan-20260719/104-functional-operations.json</x:v>
      </x:c>
    </x:row>
    <x:row r="256">
      <x:c r="A256" s="80" t="n">
        <x:v>252</x:v>
      </x:c>
      <x:c r="B256" s="81" t="str">
        <x:v>SETTLE-STATUS-004</x:v>
      </x:c>
      <x:c r="C256" s="73" t="str">
        <x:v>7.16 정산 현황</x:v>
      </x:c>
      <x:c r="D256" s="81" t="str">
        <x:v>P0</x:v>
      </x:c>
      <x:c r="E256" s="73" t="str"/>
      <x:c r="F256" s="73" t="str">
        <x:v>dashboard/operations/settlement-status.html</x:v>
      </x:c>
      <x:c r="G256" s="73" t="str">
        <x:v>목록에서 정산 완료</x:v>
      </x:c>
      <x:c r="H256" s="73" t="str">
        <x:v>상세 팝업을 자동으로 띄우지 않고 상태만 변경</x:v>
      </x:c>
      <x:c r="I256" s="81" t="str">
        <x:v>PASS</x:v>
      </x:c>
      <x:c r="J256" s="81" t="str">
        <x:v>성공</x:v>
      </x:c>
      <x:c r="K256" s="81" t="str">
        <x:v>수정 없음</x:v>
      </x:c>
      <x:c r="L256" s="73" t="str"/>
      <x:c r="M256" s="73" t="str"/>
      <x:c r="N256" s="73" t="str"/>
      <x:c r="O256" s="73" t="str">
        <x:v>기대 결과와 일치</x:v>
      </x:c>
      <x:c r="P256" s="73" t="str">
        <x:v>outputs/full-plan-20260719/104-functional-operations.json</x:v>
      </x:c>
    </x:row>
    <x:row r="257">
      <x:c r="A257" s="80" t="n">
        <x:v>253</x:v>
      </x:c>
      <x:c r="B257" s="81" t="str">
        <x:v>SETTLE-STATUS-005</x:v>
      </x:c>
      <x:c r="C257" s="73" t="str">
        <x:v>7.16 정산 현황</x:v>
      </x:c>
      <x:c r="D257" s="81" t="str">
        <x:v>P0</x:v>
      </x:c>
      <x:c r="E257" s="73" t="str"/>
      <x:c r="F257" s="73" t="str">
        <x:v>dashboard/operations/settlement-status.html</x:v>
      </x:c>
      <x:c r="G257" s="73" t="str">
        <x:v>완료 후 상세 재오픈</x:v>
      </x:c>
      <x:c r="H257" s="73" t="str">
        <x:v>완료됨, 완료일시/담당자/처리이력, 미완료 전환 표시</x:v>
      </x:c>
      <x:c r="I257" s="81" t="str">
        <x:v>PASS</x:v>
      </x:c>
      <x:c r="J257" s="81" t="str">
        <x:v>성공</x:v>
      </x:c>
      <x:c r="K257" s="81" t="str">
        <x:v>수정 없음</x:v>
      </x:c>
      <x:c r="L257" s="73" t="str"/>
      <x:c r="M257" s="73" t="str"/>
      <x:c r="N257" s="73" t="str"/>
      <x:c r="O257" s="73" t="str">
        <x:v>기대 결과와 일치</x:v>
      </x:c>
      <x:c r="P257" s="73" t="str">
        <x:v>outputs/full-plan-20260719/104-functional-operations.json</x:v>
      </x:c>
    </x:row>
    <x:row r="258">
      <x:c r="A258" s="80" t="n">
        <x:v>254</x:v>
      </x:c>
      <x:c r="B258" s="81" t="str">
        <x:v>SETTLE-STATUS-006</x:v>
      </x:c>
      <x:c r="C258" s="73" t="str">
        <x:v>7.16 정산 현황</x:v>
      </x:c>
      <x:c r="D258" s="81" t="str">
        <x:v>P0</x:v>
      </x:c>
      <x:c r="E258" s="73" t="str"/>
      <x:c r="F258" s="73" t="str">
        <x:v>dashboard/operations/settlement-status.html</x:v>
      </x:c>
      <x:c r="G258" s="73" t="str">
        <x:v>완료 버튼 중복 클릭</x:v>
      </x:c>
      <x:c r="H258" s="73" t="str">
        <x:v>재완료 차단, 중복 이력 없음</x:v>
      </x:c>
      <x:c r="I258" s="81" t="str">
        <x:v>PASS</x:v>
      </x:c>
      <x:c r="J258" s="81" t="str">
        <x:v>성공</x:v>
      </x:c>
      <x:c r="K258" s="81" t="str">
        <x:v>수정 없음</x:v>
      </x:c>
      <x:c r="L258" s="73" t="str"/>
      <x:c r="M258" s="73" t="str"/>
      <x:c r="N258" s="73" t="str"/>
      <x:c r="O258" s="73" t="str">
        <x:v>기대 결과와 일치</x:v>
      </x:c>
      <x:c r="P258" s="73" t="str">
        <x:v>outputs/full-plan-20260719/104-functional-operations.json</x:v>
      </x:c>
    </x:row>
    <x:row r="259">
      <x:c r="A259" s="80" t="n">
        <x:v>255</x:v>
      </x:c>
      <x:c r="B259" s="81" t="str">
        <x:v>SETTLE-STATUS-007</x:v>
      </x:c>
      <x:c r="C259" s="73" t="str">
        <x:v>7.16 정산 현황</x:v>
      </x:c>
      <x:c r="D259" s="81" t="str">
        <x:v>P0</x:v>
      </x:c>
      <x:c r="E259" s="73" t="str"/>
      <x:c r="F259" s="73" t="str">
        <x:v>dashboard/operations/settlement-status.html</x:v>
      </x:c>
      <x:c r="G259" s="73" t="str">
        <x:v>상세에서 미완료 전환</x:v>
      </x:c>
      <x:c r="H259" s="73" t="str">
        <x:v>상태가 미완료로 저장되고 완료 버튼으로 변경</x:v>
      </x:c>
      <x:c r="I259" s="81" t="str">
        <x:v>PASS</x:v>
      </x:c>
      <x:c r="J259" s="81" t="str">
        <x:v>성공</x:v>
      </x:c>
      <x:c r="K259" s="81" t="str">
        <x:v>수정 없음</x:v>
      </x:c>
      <x:c r="L259" s="73" t="str"/>
      <x:c r="M259" s="73" t="str"/>
      <x:c r="N259" s="73" t="str"/>
      <x:c r="O259" s="73" t="str">
        <x:v>기대 결과와 일치</x:v>
      </x:c>
      <x:c r="P259" s="73" t="str">
        <x:v>outputs/full-plan-20260719/104-functional-operations.json</x:v>
      </x:c>
    </x:row>
    <x:row r="260">
      <x:c r="A260" s="80" t="n">
        <x:v>256</x:v>
      </x:c>
      <x:c r="B260" s="81" t="str">
        <x:v>SETTLE-STATUS-008</x:v>
      </x:c>
      <x:c r="C260" s="73" t="str">
        <x:v>7.16 정산 현황</x:v>
      </x:c>
      <x:c r="D260" s="81" t="str">
        <x:v>P0</x:v>
      </x:c>
      <x:c r="E260" s="73" t="str"/>
      <x:c r="F260" s="73" t="str">
        <x:v>dashboard/operations/settlement-status.html</x:v>
      </x:c>
      <x:c r="G260" s="73" t="str">
        <x:v>미완료 전환 감사 로그</x:v>
      </x:c>
      <x:c r="H260" s="73" t="str">
        <x:v>Folio/객실/대상/금액/이전·변경 상태 기록</x:v>
      </x:c>
      <x:c r="I260" s="81" t="str">
        <x:v>PASS</x:v>
      </x:c>
      <x:c r="J260" s="81" t="str">
        <x:v>성공</x:v>
      </x:c>
      <x:c r="K260" s="81" t="str">
        <x:v>수정 없음</x:v>
      </x:c>
      <x:c r="L260" s="73" t="str"/>
      <x:c r="M260" s="73" t="str"/>
      <x:c r="N260" s="73" t="str"/>
      <x:c r="O260" s="73" t="str">
        <x:v>기대 결과와 일치</x:v>
      </x:c>
      <x:c r="P260" s="73" t="str">
        <x:v>outputs/full-plan-20260719/104-functional-operations.json</x:v>
      </x:c>
    </x:row>
    <x:row r="261">
      <x:c r="A261" s="80" t="n">
        <x:v>257</x:v>
      </x:c>
      <x:c r="B261" s="81" t="str">
        <x:v>SETTLE-STATUS-009</x:v>
      </x:c>
      <x:c r="C261" s="73" t="str">
        <x:v>7.16 정산 현황</x:v>
      </x:c>
      <x:c r="D261" s="81" t="str">
        <x:v>P0</x:v>
      </x:c>
      <x:c r="E261" s="73" t="str"/>
      <x:c r="F261" s="73" t="str">
        <x:v>dashboard/operations/settlement-status.html</x:v>
      </x:c>
      <x:c r="G261" s="73" t="str">
        <x:v>권한 없는 미완료 전환</x:v>
      </x:c>
      <x:c r="H261" s="73" t="str">
        <x:v>버튼 미노출/차단</x:v>
      </x:c>
      <x:c r="I261" s="81" t="str">
        <x:v>PASS</x:v>
      </x:c>
      <x:c r="J261" s="81" t="str">
        <x:v>성공</x:v>
      </x:c>
      <x:c r="K261" s="81" t="str">
        <x:v>수정 없음</x:v>
      </x:c>
      <x:c r="L261" s="73" t="str"/>
      <x:c r="M261" s="73" t="str"/>
      <x:c r="N261" s="73" t="str"/>
      <x:c r="O261" s="73" t="str">
        <x:v>기대 결과와 일치</x:v>
      </x:c>
      <x:c r="P261" s="73" t="str">
        <x:v>outputs/full-plan-20260719/104-functional-operations.json</x:v>
      </x:c>
    </x:row>
    <x:row r="262">
      <x:c r="A262" s="80" t="n">
        <x:v>258</x:v>
      </x:c>
      <x:c r="B262" s="81" t="str">
        <x:v>SETTLE-STATUS-010</x:v>
      </x:c>
      <x:c r="C262" s="73" t="str">
        <x:v>7.16 정산 현황</x:v>
      </x:c>
      <x:c r="D262" s="81" t="str">
        <x:v>P0</x:v>
      </x:c>
      <x:c r="E262" s="73" t="str"/>
      <x:c r="F262" s="73" t="str">
        <x:v>dashboard/operations/settlement-status.html</x:v>
      </x:c>
      <x:c r="G262" s="73" t="str">
        <x:v>수납 후 잔액 0</x:v>
      </x:c>
      <x:c r="H262" s="73" t="str">
        <x:v>자동 완료 정책과 수동 완료 정책이 정의대로 동작</x:v>
      </x:c>
      <x:c r="I262" s="81" t="str">
        <x:v>PASS</x:v>
      </x:c>
      <x:c r="J262" s="81" t="str">
        <x:v>성공</x:v>
      </x:c>
      <x:c r="K262" s="81" t="str">
        <x:v>수정 없음</x:v>
      </x:c>
      <x:c r="L262" s="73" t="str"/>
      <x:c r="M262" s="73" t="str"/>
      <x:c r="N262" s="73" t="str"/>
      <x:c r="O262" s="73" t="str">
        <x:v>기대 결과와 일치</x:v>
      </x:c>
      <x:c r="P262" s="73" t="str">
        <x:v>outputs/full-plan-20260719/104-functional-operations.json</x:v>
      </x:c>
    </x:row>
    <x:row r="263">
      <x:c r="A263" s="80" t="n">
        <x:v>259</x:v>
      </x:c>
      <x:c r="B263" s="81" t="str">
        <x:v>SETTLE-STATUS-011</x:v>
      </x:c>
      <x:c r="C263" s="73" t="str">
        <x:v>7.16 정산 현황</x:v>
      </x:c>
      <x:c r="D263" s="81" t="str">
        <x:v>P0</x:v>
      </x:c>
      <x:c r="E263" s="73" t="str"/>
      <x:c r="F263" s="73" t="str">
        <x:v>dashboard/operations/settlement-status.html</x:v>
      </x:c>
      <x:c r="G263" s="73" t="str">
        <x:v>체크아웃 완료 연계</x:v>
      </x:c>
      <x:c r="H263" s="73" t="str">
        <x:v>객실 청소 필요 전환과 현재 공실 가용 상태 분리</x:v>
      </x:c>
      <x:c r="I263" s="81" t="str">
        <x:v>PASS</x:v>
      </x:c>
      <x:c r="J263" s="81" t="str">
        <x:v>성공</x:v>
      </x:c>
      <x:c r="K263" s="81" t="str">
        <x:v>수정 없음</x:v>
      </x:c>
      <x:c r="L263" s="73" t="str"/>
      <x:c r="M263" s="73" t="str"/>
      <x:c r="N263" s="73" t="str"/>
      <x:c r="O263" s="73" t="str">
        <x:v>기대 결과와 일치</x:v>
      </x:c>
      <x:c r="P263" s="73" t="str">
        <x:v>outputs/full-plan-20260719/104-functional-operations.json</x:v>
      </x:c>
    </x:row>
    <x:row r="264">
      <x:c r="A264" s="80" t="n">
        <x:v>260</x:v>
      </x:c>
      <x:c r="B264" s="81" t="str">
        <x:v>SETTLE-STATUS-012</x:v>
      </x:c>
      <x:c r="C264" s="73" t="str">
        <x:v>7.16 정산 현황</x:v>
      </x:c>
      <x:c r="D264" s="81" t="str">
        <x:v>P1</x:v>
      </x:c>
      <x:c r="E264" s="73" t="str"/>
      <x:c r="F264" s="73" t="str">
        <x:v>dashboard/operations/settlement-status.html</x:v>
      </x:c>
      <x:c r="G264" s="73" t="str">
        <x:v>목록 카드 버튼 영어</x:v>
      </x:c>
      <x:c r="H264" s="73" t="str">
        <x:v>Complete/Reopen/Details 등이 카드 폭을 넘지 않음</x:v>
      </x:c>
      <x:c r="I264" s="81" t="str">
        <x:v>PASS</x:v>
      </x:c>
      <x:c r="J264" s="81" t="str">
        <x:v>성공</x:v>
      </x:c>
      <x:c r="K264" s="81" t="str">
        <x:v>수정 없음</x:v>
      </x:c>
      <x:c r="L264" s="73" t="str"/>
      <x:c r="M264" s="73" t="str"/>
      <x:c r="N264" s="73" t="str"/>
      <x:c r="O264" s="73" t="str">
        <x:v>기대 결과와 일치</x:v>
      </x:c>
      <x:c r="P264" s="73" t="str">
        <x:v>outputs/full-plan-20260719/104-functional-operations.json</x:v>
      </x:c>
    </x:row>
    <x:row r="265">
      <x:c r="A265" s="80" t="n">
        <x:v>261</x:v>
      </x:c>
      <x:c r="B265" s="81" t="str">
        <x:v>SETTLE-STATUS-013</x:v>
      </x:c>
      <x:c r="C265" s="73" t="str">
        <x:v>7.16 정산 현황</x:v>
      </x:c>
      <x:c r="D265" s="81" t="str">
        <x:v>P1</x:v>
      </x:c>
      <x:c r="E265" s="73" t="str"/>
      <x:c r="F265" s="73" t="str">
        <x:v>dashboard/operations/settlement-status.html</x:v>
      </x:c>
      <x:c r="G265" s="73" t="str">
        <x:v>처리 이력 통화</x:v>
      </x:c>
      <x:c r="H265" s="73" t="str">
        <x:v>페소/달러/원화가 등록 통화대로 모두 표시</x:v>
      </x:c>
      <x:c r="I265" s="81" t="str">
        <x:v>PASS</x:v>
      </x:c>
      <x:c r="J265" s="81" t="str">
        <x:v>성공</x:v>
      </x:c>
      <x:c r="K265" s="81" t="str">
        <x:v>수정 없음</x:v>
      </x:c>
      <x:c r="L265" s="73" t="str"/>
      <x:c r="M265" s="73" t="str"/>
      <x:c r="N265" s="73" t="str"/>
      <x:c r="O265" s="73" t="str">
        <x:v>기대 결과와 일치</x:v>
      </x:c>
      <x:c r="P265" s="73" t="str">
        <x:v>outputs/full-plan-20260719/104-functional-operations.json</x:v>
      </x:c>
    </x:row>
    <x:row r="266">
      <x:c r="A266" s="80" t="n">
        <x:v>262</x:v>
      </x:c>
      <x:c r="B266" s="81" t="str">
        <x:v>SETTLE-STATUS-014</x:v>
      </x:c>
      <x:c r="C266" s="73" t="str">
        <x:v>7.16 정산 현황</x:v>
      </x:c>
      <x:c r="D266" s="81" t="str">
        <x:v>P1</x:v>
      </x:c>
      <x:c r="E266" s="73" t="str"/>
      <x:c r="F266" s="73" t="str">
        <x:v>dashboard/operations/settlement-status.html</x:v>
      </x:c>
      <x:c r="G266" s="73" t="str">
        <x:v>인쇄/영수증</x:v>
      </x:c>
      <x:c r="H266" s="73" t="str">
        <x:v>운영 인쇄와 고객 영수증이 구분되어 열림</x:v>
      </x:c>
      <x:c r="I266" s="81" t="str">
        <x:v>BLOCKED</x:v>
      </x:c>
      <x:c r="J266" s="81" t="str">
        <x:v>차단</x:v>
      </x:c>
      <x:c r="K266" s="81" t="str">
        <x:v>검증 차단</x:v>
      </x:c>
      <x:c r="L266" s="73" t="str"/>
      <x:c r="M266" s="73" t="str">
        <x:v>OS 프린터가 연결되지 않아 정산 명세서 실물 확인 불가</x:v>
      </x:c>
      <x:c r="N266" s="73" t="str"/>
      <x:c r="O266" s="73" t="str">
        <x:v>화면·데이터·브라우저 단계까지 확인했으나 실제 인쇄 검증은 외부 환경이 필요함</x:v>
      </x:c>
      <x:c r="P266" s="73" t="str">
        <x:v>outputs/full-plan-20260719/104-functional-operations.json</x:v>
      </x:c>
    </x:row>
    <x:row r="267">
      <x:c r="A267" s="80" t="n">
        <x:v>263</x:v>
      </x:c>
      <x:c r="B267" s="81" t="str">
        <x:v>SETTLE-STATUS-015</x:v>
      </x:c>
      <x:c r="C267" s="73" t="str">
        <x:v>7.16 정산 현황</x:v>
      </x:c>
      <x:c r="D267" s="81" t="str">
        <x:v>P1</x:v>
      </x:c>
      <x:c r="E267" s="73" t="str"/>
      <x:c r="F267" s="73" t="str">
        <x:v>dashboard/operations/settlement-status.html</x:v>
      </x:c>
      <x:c r="G267" s="73" t="str">
        <x:v>모바일 카드 터치</x:v>
      </x:c>
      <x:c r="H267" s="73" t="str">
        <x:v>버튼과 카드 클릭이 충돌하지 않고 상세 진입</x:v>
      </x:c>
      <x:c r="I267" s="81" t="str">
        <x:v>PASS</x:v>
      </x:c>
      <x:c r="J267" s="81" t="str">
        <x:v>성공</x:v>
      </x:c>
      <x:c r="K267" s="81" t="str">
        <x:v>수정 없음</x:v>
      </x:c>
      <x:c r="L267" s="73" t="str"/>
      <x:c r="M267" s="73" t="str"/>
      <x:c r="N267" s="73" t="str"/>
      <x:c r="O267" s="73" t="str">
        <x:v>기대 결과와 일치</x:v>
      </x:c>
      <x:c r="P267" s="73" t="str">
        <x:v>outputs/full-plan-20260719/104-functional-operations.json</x:v>
      </x:c>
    </x:row>
    <x:row r="268">
      <x:c r="A268" s="80" t="n">
        <x:v>264</x:v>
      </x:c>
      <x:c r="B268" s="81" t="str">
        <x:v>SETTLE-STATUS-016</x:v>
      </x:c>
      <x:c r="C268" s="73" t="str">
        <x:v>7.16 정산 현황</x:v>
      </x:c>
      <x:c r="D268" s="81" t="str">
        <x:v>P1</x:v>
      </x:c>
      <x:c r="E268" s="73" t="str"/>
      <x:c r="F268" s="73" t="str">
        <x:v>dashboard/operations/settlement-status.html</x:v>
      </x:c>
      <x:c r="G268" s="73" t="str">
        <x:v>층/단체 그룹</x:v>
      </x:c>
      <x:c r="H268" s="73" t="str">
        <x:v>층별 객실 수와 단체 섹션이 정확</x:v>
      </x:c>
      <x:c r="I268" s="81" t="str">
        <x:v>PASS</x:v>
      </x:c>
      <x:c r="J268" s="81" t="str">
        <x:v>성공</x:v>
      </x:c>
      <x:c r="K268" s="81" t="str">
        <x:v>수정 없음</x:v>
      </x:c>
      <x:c r="L268" s="73" t="str"/>
      <x:c r="M268" s="73" t="str"/>
      <x:c r="N268" s="73" t="str"/>
      <x:c r="O268" s="73" t="str">
        <x:v>기대 결과와 일치</x:v>
      </x:c>
      <x:c r="P268" s="73" t="str">
        <x:v>outputs/full-plan-20260719/104-functional-operations.json</x:v>
      </x:c>
    </x:row>
    <x:row r="269">
      <x:c r="A269" s="80" t="n">
        <x:v>265</x:v>
      </x:c>
      <x:c r="B269" s="81" t="str">
        <x:v>SETTLE-STATUS-017</x:v>
      </x:c>
      <x:c r="C269" s="73" t="str">
        <x:v>7.16 정산 현황</x:v>
      </x:c>
      <x:c r="D269" s="81" t="str">
        <x:v>P1</x:v>
      </x:c>
      <x:c r="E269" s="73" t="str"/>
      <x:c r="F269" s="73" t="str">
        <x:v>dashboard/operations/settlement-status.html</x:v>
      </x:c>
      <x:c r="G269" s="73" t="str">
        <x:v>검색/정렬</x:v>
      </x:c>
      <x:c r="H269" s="73" t="str">
        <x:v>객실/고객/단체/정산번호 검색과 상태 필터 교집합</x:v>
      </x:c>
      <x:c r="I269" s="81" t="str">
        <x:v>PASS</x:v>
      </x:c>
      <x:c r="J269" s="81" t="str">
        <x:v>성공</x:v>
      </x:c>
      <x:c r="K269" s="81" t="str">
        <x:v>수정 없음</x:v>
      </x:c>
      <x:c r="L269" s="73" t="str"/>
      <x:c r="M269" s="73" t="str"/>
      <x:c r="N269" s="73" t="str"/>
      <x:c r="O269" s="73" t="str">
        <x:v>기대 결과와 일치</x:v>
      </x:c>
      <x:c r="P269" s="73" t="str">
        <x:v>outputs/full-plan-20260719/104-functional-operations.json</x:v>
      </x:c>
    </x:row>
    <x:row r="270">
      <x:c r="A270" s="80" t="n">
        <x:v>266</x:v>
      </x:c>
      <x:c r="B270" s="81" t="str">
        <x:v>SETTLE-STATUS-018</x:v>
      </x:c>
      <x:c r="C270" s="73" t="str">
        <x:v>7.16 정산 현황</x:v>
      </x:c>
      <x:c r="D270" s="81" t="str">
        <x:v>P1</x:v>
      </x:c>
      <x:c r="E270" s="73" t="str"/>
      <x:c r="F270" s="73" t="str">
        <x:v>dashboard/operations/settlement-status.html</x:v>
      </x:c>
      <x:c r="G270" s="73" t="str">
        <x:v>완료 카드 목록 액션</x:v>
      </x:c>
      <x:c r="H270" s="73" t="str">
        <x:v>목록에는 미완료 전환 버튼이 없고 상세에서만 제공</x:v>
      </x:c>
      <x:c r="I270" s="81" t="str">
        <x:v>PASS</x:v>
      </x:c>
      <x:c r="J270" s="81" t="str">
        <x:v>성공</x:v>
      </x:c>
      <x:c r="K270" s="81" t="str">
        <x:v>수정 없음</x:v>
      </x:c>
      <x:c r="L270" s="73" t="str"/>
      <x:c r="M270" s="73" t="str"/>
      <x:c r="N270" s="73" t="str"/>
      <x:c r="O270" s="73" t="str">
        <x:v>기대 결과와 일치</x:v>
      </x:c>
      <x:c r="P270" s="73" t="str">
        <x:v>outputs/full-plan-20260719/104-functional-operations.json</x:v>
      </x:c>
    </x:row>
    <x:row r="271">
      <x:c r="A271" s="80" t="n">
        <x:v>267</x:v>
      </x:c>
      <x:c r="B271" s="81" t="str">
        <x:v>FOLIO-001</x:v>
      </x:c>
      <x:c r="C271" s="73" t="str">
        <x:v>7.17 정산 목록</x:v>
      </x:c>
      <x:c r="D271" s="81" t="str">
        <x:v>P0</x:v>
      </x:c>
      <x:c r="E271" s="73" t="str"/>
      <x:c r="F271" s="73" t="str">
        <x:v>dashboard/operations/folio.html</x:v>
      </x:c>
      <x:c r="G271" s="73" t="str">
        <x:v>Folio 목록/상세</x:v>
      </x:c>
      <x:c r="H271" s="73" t="str">
        <x:v>객실, 고객, 단체, 기간, 청구, 수납, 잔액 일치</x:v>
      </x:c>
      <x:c r="I271" s="81" t="str">
        <x:v>PASS</x:v>
      </x:c>
      <x:c r="J271" s="81" t="str">
        <x:v>성공</x:v>
      </x:c>
      <x:c r="K271" s="81" t="str">
        <x:v>수정 없음</x:v>
      </x:c>
      <x:c r="L271" s="73" t="str"/>
      <x:c r="M271" s="73" t="str"/>
      <x:c r="N271" s="73" t="str"/>
      <x:c r="O271" s="73" t="str">
        <x:v>기대 결과와 일치</x:v>
      </x:c>
      <x:c r="P271" s="73" t="str">
        <x:v>outputs/full-plan-20260719/104-functional-operations.json</x:v>
      </x:c>
    </x:row>
    <x:row r="272">
      <x:c r="A272" s="80" t="n">
        <x:v>268</x:v>
      </x:c>
      <x:c r="B272" s="81" t="str">
        <x:v>FOLIO-002</x:v>
      </x:c>
      <x:c r="C272" s="73" t="str">
        <x:v>7.17 정산 목록</x:v>
      </x:c>
      <x:c r="D272" s="81" t="str">
        <x:v>P0</x:v>
      </x:c>
      <x:c r="E272" s="73" t="str"/>
      <x:c r="F272" s="73" t="str">
        <x:v>dashboard/operations/folio.html</x:v>
      </x:c>
      <x:c r="G272" s="73" t="str">
        <x:v>수납 신규 등록</x:v>
      </x:c>
      <x:c r="H272" s="73" t="str">
        <x:v>페소/달러/원화 입력 및 정산 반영 금액 정확</x:v>
      </x:c>
      <x:c r="I272" s="81" t="str">
        <x:v>PASS</x:v>
      </x:c>
      <x:c r="J272" s="81" t="str">
        <x:v>성공</x:v>
      </x:c>
      <x:c r="K272" s="81" t="str">
        <x:v>수정 없음</x:v>
      </x:c>
      <x:c r="L272" s="73" t="str"/>
      <x:c r="M272" s="73" t="str"/>
      <x:c r="N272" s="73" t="str"/>
      <x:c r="O272" s="73" t="str">
        <x:v>기대 결과와 일치</x:v>
      </x:c>
      <x:c r="P272" s="73" t="str">
        <x:v>outputs/full-plan-20260719/104-functional-operations.json</x:v>
      </x:c>
    </x:row>
    <x:row r="273">
      <x:c r="A273" s="80" t="n">
        <x:v>269</x:v>
      </x:c>
      <x:c r="B273" s="81" t="str">
        <x:v>FOLIO-003</x:v>
      </x:c>
      <x:c r="C273" s="73" t="str">
        <x:v>7.17 정산 목록</x:v>
      </x:c>
      <x:c r="D273" s="81" t="str">
        <x:v>P0</x:v>
      </x:c>
      <x:c r="E273" s="73" t="str"/>
      <x:c r="F273" s="73" t="str">
        <x:v>dashboard/operations/folio.html</x:v>
      </x:c>
      <x:c r="G273" s="73" t="str">
        <x:v>예치금 적용</x:v>
      </x:c>
      <x:c r="H273" s="73" t="str">
        <x:v>잔액/처리 이력/예약 상세 동기화</x:v>
      </x:c>
      <x:c r="I273" s="81" t="str">
        <x:v>PASS</x:v>
      </x:c>
      <x:c r="J273" s="81" t="str">
        <x:v>성공</x:v>
      </x:c>
      <x:c r="K273" s="81" t="str">
        <x:v>수정 없음</x:v>
      </x:c>
      <x:c r="L273" s="73" t="str"/>
      <x:c r="M273" s="73" t="str"/>
      <x:c r="N273" s="73" t="str"/>
      <x:c r="O273" s="73" t="str">
        <x:v>기대 결과와 일치</x:v>
      </x:c>
      <x:c r="P273" s="73" t="str">
        <x:v>outputs/full-plan-20260719/104-functional-operations.json</x:v>
      </x:c>
    </x:row>
    <x:row r="274">
      <x:c r="A274" s="80" t="n">
        <x:v>270</x:v>
      </x:c>
      <x:c r="B274" s="81" t="str">
        <x:v>FOLIO-004</x:v>
      </x:c>
      <x:c r="C274" s="73" t="str">
        <x:v>7.17 정산 목록</x:v>
      </x:c>
      <x:c r="D274" s="81" t="str">
        <x:v>P0</x:v>
      </x:c>
      <x:c r="E274" s="73" t="str"/>
      <x:c r="F274" s="73" t="str">
        <x:v>dashboard/operations/folio.html</x:v>
      </x:c>
      <x:c r="G274" s="73" t="str">
        <x:v>환불 등록/확인</x:v>
      </x:c>
      <x:c r="H274" s="73" t="str">
        <x:v>잔액, 상태, 감사 로그 반영</x:v>
      </x:c>
      <x:c r="I274" s="81" t="str">
        <x:v>PASS</x:v>
      </x:c>
      <x:c r="J274" s="81" t="str">
        <x:v>성공</x:v>
      </x:c>
      <x:c r="K274" s="81" t="str">
        <x:v>수정 없음</x:v>
      </x:c>
      <x:c r="L274" s="73" t="str"/>
      <x:c r="M274" s="73" t="str"/>
      <x:c r="N274" s="73" t="str"/>
      <x:c r="O274" s="73" t="str">
        <x:v>기대 결과와 일치</x:v>
      </x:c>
      <x:c r="P274" s="73" t="str">
        <x:v>outputs/full-plan-20260719/104-functional-operations.json</x:v>
      </x:c>
    </x:row>
    <x:row r="275">
      <x:c r="A275" s="80" t="n">
        <x:v>271</x:v>
      </x:c>
      <x:c r="B275" s="81" t="str">
        <x:v>FOLIO-005</x:v>
      </x:c>
      <x:c r="C275" s="73" t="str">
        <x:v>7.17 정산 목록</x:v>
      </x:c>
      <x:c r="D275" s="81" t="str">
        <x:v>P0</x:v>
      </x:c>
      <x:c r="E275" s="73" t="str"/>
      <x:c r="F275" s="73" t="str">
        <x:v>dashboard/operations/folio.html</x:v>
      </x:c>
      <x:c r="G275" s="73" t="str">
        <x:v>정산 완료</x:v>
      </x:c>
      <x:c r="H275" s="73" t="str">
        <x:v>완료 기록 1건, 상태/버튼/청소 연계 정확</x:v>
      </x:c>
      <x:c r="I275" s="81" t="str">
        <x:v>PASS</x:v>
      </x:c>
      <x:c r="J275" s="81" t="str">
        <x:v>성공</x:v>
      </x:c>
      <x:c r="K275" s="81" t="str">
        <x:v>수정 없음</x:v>
      </x:c>
      <x:c r="L275" s="73" t="str"/>
      <x:c r="M275" s="73" t="str"/>
      <x:c r="N275" s="73" t="str"/>
      <x:c r="O275" s="73" t="str">
        <x:v>기대 결과와 일치</x:v>
      </x:c>
      <x:c r="P275" s="73" t="str">
        <x:v>outputs/full-plan-20260719/104-functional-operations.json</x:v>
      </x:c>
    </x:row>
    <x:row r="276">
      <x:c r="A276" s="80" t="n">
        <x:v>272</x:v>
      </x:c>
      <x:c r="B276" s="81" t="str">
        <x:v>FOLIO-006</x:v>
      </x:c>
      <x:c r="C276" s="73" t="str">
        <x:v>7.17 정산 목록</x:v>
      </x:c>
      <x:c r="D276" s="81" t="str">
        <x:v>P0</x:v>
      </x:c>
      <x:c r="E276" s="73" t="str"/>
      <x:c r="F276" s="73" t="str">
        <x:v>dashboard/operations/folio.html</x:v>
      </x:c>
      <x:c r="G276" s="73" t="str">
        <x:v>상세 미완료 전환</x:v>
      </x:c>
      <x:c r="H276" s="73" t="str">
        <x:v>권한 확인, 상태 저장, 감사 로그 생성</x:v>
      </x:c>
      <x:c r="I276" s="81" t="str">
        <x:v>PASS</x:v>
      </x:c>
      <x:c r="J276" s="81" t="str">
        <x:v>성공</x:v>
      </x:c>
      <x:c r="K276" s="81" t="str">
        <x:v>수정 없음</x:v>
      </x:c>
      <x:c r="L276" s="73" t="str"/>
      <x:c r="M276" s="73" t="str"/>
      <x:c r="N276" s="73" t="str"/>
      <x:c r="O276" s="73" t="str">
        <x:v>기대 결과와 일치</x:v>
      </x:c>
      <x:c r="P276" s="73" t="str">
        <x:v>outputs/full-plan-20260719/104-functional-operations.json</x:v>
      </x:c>
    </x:row>
    <x:row r="277">
      <x:c r="A277" s="80" t="n">
        <x:v>273</x:v>
      </x:c>
      <x:c r="B277" s="81" t="str">
        <x:v>FOLIO-007</x:v>
      </x:c>
      <x:c r="C277" s="73" t="str">
        <x:v>7.17 정산 목록</x:v>
      </x:c>
      <x:c r="D277" s="81" t="str">
        <x:v>P0</x:v>
      </x:c>
      <x:c r="E277" s="73" t="str"/>
      <x:c r="F277" s="73" t="str">
        <x:v>dashboard/operations/folio.html</x:v>
      </x:c>
      <x:c r="G277" s="73" t="str">
        <x:v>청구 항목 구성</x:v>
      </x:c>
      <x:c r="H277" s="73" t="str">
        <x:v>객실, POS, 골프, 렌터카, 음식점, 기타 합계 정확</x:v>
      </x:c>
      <x:c r="I277" s="81" t="str">
        <x:v>PASS</x:v>
      </x:c>
      <x:c r="J277" s="81" t="str">
        <x:v>성공</x:v>
      </x:c>
      <x:c r="K277" s="81" t="str">
        <x:v>수정 없음</x:v>
      </x:c>
      <x:c r="L277" s="73" t="str"/>
      <x:c r="M277" s="73" t="str"/>
      <x:c r="N277" s="73" t="str"/>
      <x:c r="O277" s="73" t="str">
        <x:v>기대 결과와 일치</x:v>
      </x:c>
      <x:c r="P277" s="73" t="str">
        <x:v>outputs/full-plan-20260719/104-functional-operations.json</x:v>
      </x:c>
    </x:row>
    <x:row r="278">
      <x:c r="A278" s="80" t="n">
        <x:v>274</x:v>
      </x:c>
      <x:c r="B278" s="81" t="str">
        <x:v>FOLIO-008</x:v>
      </x:c>
      <x:c r="C278" s="73" t="str">
        <x:v>7.17 정산 목록</x:v>
      </x:c>
      <x:c r="D278" s="81" t="str">
        <x:v>P0</x:v>
      </x:c>
      <x:c r="E278" s="73" t="str"/>
      <x:c r="F278" s="73" t="str">
        <x:v>dashboard/operations/folio.html</x:v>
      </x:c>
      <x:c r="G278" s="73" t="str">
        <x:v>비품 구매 반영</x:v>
      </x:c>
      <x:c r="H278" s="73" t="str">
        <x:v>관련 지출이 정책에 따라 마이너스 항목으로 표시</x:v>
      </x:c>
      <x:c r="I278" s="81" t="str">
        <x:v>PASS</x:v>
      </x:c>
      <x:c r="J278" s="81" t="str">
        <x:v>성공</x:v>
      </x:c>
      <x:c r="K278" s="81" t="str">
        <x:v>수정 없음</x:v>
      </x:c>
      <x:c r="L278" s="73" t="str"/>
      <x:c r="M278" s="73" t="str"/>
      <x:c r="N278" s="73" t="str"/>
      <x:c r="O278" s="73" t="str">
        <x:v>기대 결과와 일치</x:v>
      </x:c>
      <x:c r="P278" s="73" t="str">
        <x:v>outputs/full-plan-20260719/104-functional-operations.json</x:v>
      </x:c>
    </x:row>
    <x:row r="279">
      <x:c r="A279" s="80" t="n">
        <x:v>275</x:v>
      </x:c>
      <x:c r="B279" s="81" t="str">
        <x:v>FOLIO-009</x:v>
      </x:c>
      <x:c r="C279" s="73" t="str">
        <x:v>7.17 정산 목록</x:v>
      </x:c>
      <x:c r="D279" s="81" t="str">
        <x:v>P1</x:v>
      </x:c>
      <x:c r="E279" s="73" t="str"/>
      <x:c r="F279" s="73" t="str">
        <x:v>dashboard/operations/folio.html</x:v>
      </x:c>
      <x:c r="G279" s="73" t="str">
        <x:v>처리 이력</x:v>
      </x:c>
      <x:c r="H279" s="73" t="str">
        <x:v>날짜, 처리자, 결제수단, 통화, 금액, 메모 표시</x:v>
      </x:c>
      <x:c r="I279" s="81" t="str">
        <x:v>PASS</x:v>
      </x:c>
      <x:c r="J279" s="81" t="str">
        <x:v>성공</x:v>
      </x:c>
      <x:c r="K279" s="81" t="str">
        <x:v>수정 없음</x:v>
      </x:c>
      <x:c r="L279" s="73" t="str"/>
      <x:c r="M279" s="73" t="str"/>
      <x:c r="N279" s="73" t="str"/>
      <x:c r="O279" s="73" t="str">
        <x:v>기대 결과와 일치</x:v>
      </x:c>
      <x:c r="P279" s="73" t="str">
        <x:v>outputs/full-plan-20260719/104-functional-operations.json</x:v>
      </x:c>
    </x:row>
    <x:row r="280">
      <x:c r="A280" s="80" t="n">
        <x:v>276</x:v>
      </x:c>
      <x:c r="B280" s="81" t="str">
        <x:v>FOLIO-010</x:v>
      </x:c>
      <x:c r="C280" s="73" t="str">
        <x:v>7.17 정산 목록</x:v>
      </x:c>
      <x:c r="D280" s="81" t="str">
        <x:v>P1</x:v>
      </x:c>
      <x:c r="E280" s="73" t="str"/>
      <x:c r="F280" s="73" t="str">
        <x:v>dashboard/operations/folio.html</x:v>
      </x:c>
      <x:c r="G280" s="73" t="str">
        <x:v>검색/기간/상태/유형</x:v>
      </x:c>
      <x:c r="H280" s="73" t="str">
        <x:v>목록과 KPI/합계 일치</x:v>
      </x:c>
      <x:c r="I280" s="81" t="str">
        <x:v>PASS</x:v>
      </x:c>
      <x:c r="J280" s="81" t="str">
        <x:v>성공</x:v>
      </x:c>
      <x:c r="K280" s="81" t="str">
        <x:v>수정 없음</x:v>
      </x:c>
      <x:c r="L280" s="73" t="str"/>
      <x:c r="M280" s="73" t="str"/>
      <x:c r="N280" s="73" t="str"/>
      <x:c r="O280" s="73" t="str">
        <x:v>기대 결과와 일치</x:v>
      </x:c>
      <x:c r="P280" s="73" t="str">
        <x:v>outputs/full-plan-20260719/104-functional-operations.json</x:v>
      </x:c>
    </x:row>
    <x:row r="281">
      <x:c r="A281" s="80" t="n">
        <x:v>277</x:v>
      </x:c>
      <x:c r="B281" s="81" t="str">
        <x:v>FOLIO-011</x:v>
      </x:c>
      <x:c r="C281" s="73" t="str">
        <x:v>7.17 정산 목록</x:v>
      </x:c>
      <x:c r="D281" s="81" t="str">
        <x:v>P1</x:v>
      </x:c>
      <x:c r="E281" s="73" t="str"/>
      <x:c r="F281" s="73" t="str">
        <x:v>dashboard/operations/folio.html</x:v>
      </x:c>
      <x:c r="G281" s="73" t="str">
        <x:v>명세서/영수증/인쇄</x:v>
      </x:c>
      <x:c r="H281" s="73" t="str">
        <x:v>데이터와 통화, 인쇄 레이아웃 정확</x:v>
      </x:c>
      <x:c r="I281" s="81" t="str">
        <x:v>BLOCKED</x:v>
      </x:c>
      <x:c r="J281" s="81" t="str">
        <x:v>차단</x:v>
      </x:c>
      <x:c r="K281" s="81" t="str">
        <x:v>검증 차단</x:v>
      </x:c>
      <x:c r="L281" s="73" t="str"/>
      <x:c r="M281" s="73" t="str">
        <x:v>OS 프린터가 연결되지 않아 Folio 실물 출력 확인 불가</x:v>
      </x:c>
      <x:c r="N281" s="73" t="str"/>
      <x:c r="O281" s="73" t="str">
        <x:v>화면·데이터·브라우저 단계까지 확인했으나 실제 인쇄 검증은 외부 환경이 필요함</x:v>
      </x:c>
      <x:c r="P281" s="73" t="str">
        <x:v>outputs/full-plan-20260719/104-functional-operations.json</x:v>
      </x:c>
    </x:row>
    <x:row r="282">
      <x:c r="A282" s="80" t="n">
        <x:v>278</x:v>
      </x:c>
      <x:c r="B282" s="81" t="str">
        <x:v>FOLIO-012</x:v>
      </x:c>
      <x:c r="C282" s="73" t="str">
        <x:v>7.17 정산 목록</x:v>
      </x:c>
      <x:c r="D282" s="81" t="str">
        <x:v>P1</x:v>
      </x:c>
      <x:c r="E282" s="73" t="str"/>
      <x:c r="F282" s="73" t="str">
        <x:v>dashboard/operations/folio.html</x:v>
      </x:c>
      <x:c r="G282" s="73" t="str">
        <x:v>목록 영어 버튼</x:v>
      </x:c>
      <x:c r="H282" s="73" t="str">
        <x:v>카드/행 넘침 없이 명확한 라벨</x:v>
      </x:c>
      <x:c r="I282" s="81" t="str">
        <x:v>PASS</x:v>
      </x:c>
      <x:c r="J282" s="81" t="str">
        <x:v>성공</x:v>
      </x:c>
      <x:c r="K282" s="81" t="str">
        <x:v>수정 없음</x:v>
      </x:c>
      <x:c r="L282" s="73" t="str"/>
      <x:c r="M282" s="73" t="str"/>
      <x:c r="N282" s="73" t="str"/>
      <x:c r="O282" s="73" t="str">
        <x:v>기대 결과와 일치</x:v>
      </x:c>
      <x:c r="P282" s="73" t="str">
        <x:v>outputs/full-plan-20260719/104-functional-operations.json</x:v>
      </x:c>
    </x:row>
    <x:row r="283">
      <x:c r="A283" s="80" t="n">
        <x:v>279</x:v>
      </x:c>
      <x:c r="B283" s="81" t="str">
        <x:v>FOLIO-013</x:v>
      </x:c>
      <x:c r="C283" s="73" t="str">
        <x:v>7.17 정산 목록</x:v>
      </x:c>
      <x:c r="D283" s="81" t="str">
        <x:v>P1</x:v>
      </x:c>
      <x:c r="E283" s="73" t="str"/>
      <x:c r="F283" s="73" t="str">
        <x:v>dashboard/operations/folio.html</x:v>
      </x:c>
      <x:c r="G283" s="73" t="str">
        <x:v>완료/미완료 재진입</x:v>
      </x:c>
      <x:c r="H283" s="73" t="str">
        <x:v>메뉴 이동/새로고침 후 상태 유지</x:v>
      </x:c>
      <x:c r="I283" s="81" t="str">
        <x:v>PASS</x:v>
      </x:c>
      <x:c r="J283" s="81" t="str">
        <x:v>성공</x:v>
      </x:c>
      <x:c r="K283" s="81" t="str">
        <x:v>수정 없음</x:v>
      </x:c>
      <x:c r="L283" s="73" t="str"/>
      <x:c r="M283" s="73" t="str"/>
      <x:c r="N283" s="73" t="str"/>
      <x:c r="O283" s="73" t="str">
        <x:v>기대 결과와 일치</x:v>
      </x:c>
      <x:c r="P283" s="73" t="str">
        <x:v>outputs/full-plan-20260719/104-functional-operations.json</x:v>
      </x:c>
    </x:row>
    <x:row r="284">
      <x:c r="A284" s="80" t="n">
        <x:v>280</x:v>
      </x:c>
      <x:c r="B284" s="81" t="str">
        <x:v>FOLIO-014</x:v>
      </x:c>
      <x:c r="C284" s="73" t="str">
        <x:v>7.17 정산 목록</x:v>
      </x:c>
      <x:c r="D284" s="81" t="str">
        <x:v>P1</x:v>
      </x:c>
      <x:c r="E284" s="73" t="str"/>
      <x:c r="F284" s="73" t="str">
        <x:v>dashboard/operations/folio.html</x:v>
      </x:c>
      <x:c r="G284" s="73" t="str">
        <x:v>단체 Folio</x:v>
      </x:c>
      <x:c r="H284" s="73" t="str">
        <x:v>객실/부가서비스/단체 할인/결제 조건 반영</x:v>
      </x:c>
      <x:c r="I284" s="81" t="str">
        <x:v>PASS</x:v>
      </x:c>
      <x:c r="J284" s="81" t="str">
        <x:v>성공</x:v>
      </x:c>
      <x:c r="K284" s="81" t="str">
        <x:v>수정 없음</x:v>
      </x:c>
      <x:c r="L284" s="73" t="str"/>
      <x:c r="M284" s="73" t="str"/>
      <x:c r="N284" s="73" t="str"/>
      <x:c r="O284" s="73" t="str">
        <x:v>기대 결과와 일치</x:v>
      </x:c>
      <x:c r="P284" s="73" t="str">
        <x:v>outputs/full-plan-20260719/104-functional-operations.json</x:v>
      </x:c>
    </x:row>
    <x:row r="285">
      <x:c r="A285" s="80" t="n">
        <x:v>281</x:v>
      </x:c>
      <x:c r="B285" s="81" t="str">
        <x:v>FOLIO-015</x:v>
      </x:c>
      <x:c r="C285" s="73" t="str">
        <x:v>7.17 정산 목록</x:v>
      </x:c>
      <x:c r="D285" s="81" t="str">
        <x:v>P1</x:v>
      </x:c>
      <x:c r="E285" s="73" t="str"/>
      <x:c r="F285" s="73" t="str">
        <x:v>dashboard/operations/folio.html</x:v>
      </x:c>
      <x:c r="G285" s="73" t="str">
        <x:v>데이터 불일치 감지</x:v>
      </x:c>
      <x:c r="H285" s="73" t="str">
        <x:v>청구 합계와 수납+잔액 불일치 시 경고 표시</x:v>
      </x:c>
      <x:c r="I285" s="81" t="str">
        <x:v>PASS</x:v>
      </x:c>
      <x:c r="J285" s="81" t="str">
        <x:v>성공</x:v>
      </x:c>
      <x:c r="K285" s="81" t="str">
        <x:v>수정 없음</x:v>
      </x:c>
      <x:c r="L285" s="73" t="str"/>
      <x:c r="M285" s="73" t="str"/>
      <x:c r="N285" s="73" t="str"/>
      <x:c r="O285" s="73" t="str">
        <x:v>기대 결과와 일치</x:v>
      </x:c>
      <x:c r="P285" s="73" t="str">
        <x:v>outputs/full-plan-20260719/104-functional-operations.json</x:v>
      </x:c>
    </x:row>
    <x:row r="286">
      <x:c r="A286" s="80" t="n">
        <x:v>282</x:v>
      </x:c>
      <x:c r="B286" s="81" t="str">
        <x:v>EXP-001</x:v>
      </x:c>
      <x:c r="C286" s="73" t="str">
        <x:v>7.18 비품 구매</x:v>
      </x:c>
      <x:c r="D286" s="81" t="str">
        <x:v>P0</x:v>
      </x:c>
      <x:c r="E286" s="73" t="str"/>
      <x:c r="F286" s="73" t="str">
        <x:v>dashboard/operations/expense-purchases.html</x:v>
      </x:c>
      <x:c r="G286" s="73" t="str">
        <x:v>신규 등록 팝업 열기</x:v>
      </x:c>
      <x:c r="H286" s="73" t="str">
        <x:v>목록은 넓게 유지되고 등록은 팝업에서 수행</x:v>
      </x:c>
      <x:c r="I286" s="81" t="str">
        <x:v>PASS</x:v>
      </x:c>
      <x:c r="J286" s="81" t="str">
        <x:v>성공</x:v>
      </x:c>
      <x:c r="K286" s="81" t="str">
        <x:v>수정 없음</x:v>
      </x:c>
      <x:c r="L286" s="73" t="str"/>
      <x:c r="M286" s="73" t="str"/>
      <x:c r="N286" s="73" t="str"/>
      <x:c r="O286" s="73" t="str">
        <x:v>기대 결과와 일치</x:v>
      </x:c>
      <x:c r="P286" s="73" t="str">
        <x:v>outputs/full-plan-20260719/104-functional-operations.json</x:v>
      </x:c>
    </x:row>
    <x:row r="287">
      <x:c r="A287" s="80" t="n">
        <x:v>283</x:v>
      </x:c>
      <x:c r="B287" s="81" t="str">
        <x:v>EXP-002</x:v>
      </x:c>
      <x:c r="C287" s="73" t="str">
        <x:v>7.18 비품 구매</x:v>
      </x:c>
      <x:c r="D287" s="81" t="str">
        <x:v>P0</x:v>
      </x:c>
      <x:c r="E287" s="73" t="str"/>
      <x:c r="F287" s="73" t="str">
        <x:v>dashboard/operations/expense-purchases.html</x:v>
      </x:c>
      <x:c r="G287" s="73" t="str">
        <x:v>구매자 기본값/선택</x:v>
      </x:c>
      <x:c r="H287" s="73" t="str">
        <x:v>로그인 본인이 기본이고 등록된 근무 중 직원만 선택</x:v>
      </x:c>
      <x:c r="I287" s="81" t="str">
        <x:v>PASS</x:v>
      </x:c>
      <x:c r="J287" s="81" t="str">
        <x:v>성공</x:v>
      </x:c>
      <x:c r="K287" s="81" t="str">
        <x:v>수정 없음</x:v>
      </x:c>
      <x:c r="L287" s="73" t="str"/>
      <x:c r="M287" s="73" t="str"/>
      <x:c r="N287" s="73" t="str"/>
      <x:c r="O287" s="73" t="str">
        <x:v>기대 결과와 일치</x:v>
      </x:c>
      <x:c r="P287" s="73" t="str">
        <x:v>outputs/full-plan-20260719/104-functional-operations.json</x:v>
      </x:c>
    </x:row>
    <x:row r="288">
      <x:c r="A288" s="80" t="n">
        <x:v>284</x:v>
      </x:c>
      <x:c r="B288" s="81" t="str">
        <x:v>EXP-003</x:v>
      </x:c>
      <x:c r="C288" s="73" t="str">
        <x:v>7.18 비품 구매</x:v>
      </x:c>
      <x:c r="D288" s="81" t="str">
        <x:v>P0</x:v>
      </x:c>
      <x:c r="E288" s="73" t="str"/>
      <x:c r="F288" s="73" t="str">
        <x:v>dashboard/operations/expense-purchases.html</x:v>
      </x:c>
      <x:c r="G288" s="73" t="str">
        <x:v>통화 선택</x:v>
      </x:c>
      <x:c r="H288" s="73" t="str">
        <x:v>호텔 기본 PHP, 추가 USD/KRW; VND 호텔일 때만 VND 표시</x:v>
      </x:c>
      <x:c r="I288" s="81" t="str">
        <x:v>PASS</x:v>
      </x:c>
      <x:c r="J288" s="81" t="str">
        <x:v>성공</x:v>
      </x:c>
      <x:c r="K288" s="81" t="str">
        <x:v>수정 없음</x:v>
      </x:c>
      <x:c r="L288" s="73" t="str"/>
      <x:c r="M288" s="73" t="str"/>
      <x:c r="N288" s="73" t="str"/>
      <x:c r="O288" s="73" t="str">
        <x:v>기대 결과와 일치</x:v>
      </x:c>
      <x:c r="P288" s="73" t="str">
        <x:v>outputs/full-plan-20260719/104-functional-operations.json</x:v>
      </x:c>
    </x:row>
    <x:row r="289">
      <x:c r="A289" s="80" t="n">
        <x:v>285</x:v>
      </x:c>
      <x:c r="B289" s="81" t="str">
        <x:v>EXP-004</x:v>
      </x:c>
      <x:c r="C289" s="73" t="str">
        <x:v>7.18 비품 구매</x:v>
      </x:c>
      <x:c r="D289" s="81" t="str">
        <x:v>P0</x:v>
      </x:c>
      <x:c r="E289" s="73" t="str"/>
      <x:c r="F289" s="73" t="str">
        <x:v>dashboard/operations/expense-purchases.html</x:v>
      </x:c>
      <x:c r="G289" s="73" t="str">
        <x:v>현금 지출 등록</x:v>
      </x:c>
      <x:c r="H289" s="73" t="str">
        <x:v>목록/KPI/시재/일일 마감 출금에 반영</x:v>
      </x:c>
      <x:c r="I289" s="81" t="str">
        <x:v>PASS</x:v>
      </x:c>
      <x:c r="J289" s="81" t="str">
        <x:v>성공</x:v>
      </x:c>
      <x:c r="K289" s="81" t="str">
        <x:v>수정 없음</x:v>
      </x:c>
      <x:c r="L289" s="73" t="str"/>
      <x:c r="M289" s="73" t="str"/>
      <x:c r="N289" s="73" t="str"/>
      <x:c r="O289" s="73" t="str">
        <x:v>기대 결과와 일치</x:v>
      </x:c>
      <x:c r="P289" s="73" t="str">
        <x:v>outputs/full-plan-20260719/104-functional-operations.json</x:v>
      </x:c>
    </x:row>
    <x:row r="290">
      <x:c r="A290" s="80" t="n">
        <x:v>286</x:v>
      </x:c>
      <x:c r="B290" s="81" t="str">
        <x:v>EXP-005</x:v>
      </x:c>
      <x:c r="C290" s="73" t="str">
        <x:v>7.18 비품 구매</x:v>
      </x:c>
      <x:c r="D290" s="81" t="str">
        <x:v>P0</x:v>
      </x:c>
      <x:c r="E290" s="73" t="str"/>
      <x:c r="F290" s="73" t="str">
        <x:v>dashboard/operations/expense-purchases.html</x:v>
      </x:c>
      <x:c r="G290" s="73" t="str">
        <x:v>카드/계좌 지출 등록</x:v>
      </x:c>
      <x:c r="H290" s="73" t="str">
        <x:v>현금 시재에는 영향 없고 지출 합계에는 반영</x:v>
      </x:c>
      <x:c r="I290" s="81" t="str">
        <x:v>PASS</x:v>
      </x:c>
      <x:c r="J290" s="81" t="str">
        <x:v>성공</x:v>
      </x:c>
      <x:c r="K290" s="81" t="str">
        <x:v>수정 없음</x:v>
      </x:c>
      <x:c r="L290" s="73" t="str"/>
      <x:c r="M290" s="73" t="str"/>
      <x:c r="N290" s="73" t="str"/>
      <x:c r="O290" s="73" t="str">
        <x:v>기대 결과와 일치</x:v>
      </x:c>
      <x:c r="P290" s="73" t="str">
        <x:v>outputs/full-plan-20260719/104-functional-operations.json</x:v>
      </x:c>
    </x:row>
    <x:row r="291">
      <x:c r="A291" s="80" t="n">
        <x:v>287</x:v>
      </x:c>
      <x:c r="B291" s="81" t="str">
        <x:v>EXP-006</x:v>
      </x:c>
      <x:c r="C291" s="73" t="str">
        <x:v>7.18 비품 구매</x:v>
      </x:c>
      <x:c r="D291" s="81" t="str">
        <x:v>P0</x:v>
      </x:c>
      <x:c r="E291" s="73" t="str"/>
      <x:c r="F291" s="73" t="str">
        <x:v>dashboard/operations/expense-purchases.html</x:v>
      </x:c>
      <x:c r="G291" s="73" t="str">
        <x:v>수정</x:v>
      </x:c>
      <x:c r="H291" s="73" t="str">
        <x:v>모든 기존 값이 팝업에 로드되고 저장 후 갱신</x:v>
      </x:c>
      <x:c r="I291" s="81" t="str">
        <x:v>PASS</x:v>
      </x:c>
      <x:c r="J291" s="81" t="str">
        <x:v>성공</x:v>
      </x:c>
      <x:c r="K291" s="81" t="str">
        <x:v>수정 없음</x:v>
      </x:c>
      <x:c r="L291" s="73" t="str"/>
      <x:c r="M291" s="73" t="str"/>
      <x:c r="N291" s="73" t="str"/>
      <x:c r="O291" s="73" t="str">
        <x:v>기대 결과와 일치</x:v>
      </x:c>
      <x:c r="P291" s="73" t="str">
        <x:v>outputs/full-plan-20260719/104-functional-operations.json</x:v>
      </x:c>
    </x:row>
    <x:row r="292">
      <x:c r="A292" s="80" t="n">
        <x:v>288</x:v>
      </x:c>
      <x:c r="B292" s="81" t="str">
        <x:v>EXP-007</x:v>
      </x:c>
      <x:c r="C292" s="73" t="str">
        <x:v>7.18 비품 구매</x:v>
      </x:c>
      <x:c r="D292" s="81" t="str">
        <x:v>P0</x:v>
      </x:c>
      <x:c r="E292" s="73" t="str"/>
      <x:c r="F292" s="73" t="str">
        <x:v>dashboard/operations/expense-purchases.html</x:v>
      </x:c>
      <x:c r="G292" s="73" t="str">
        <x:v>삭제</x:v>
      </x:c>
      <x:c r="H292" s="73" t="str">
        <x:v>확인 후 목록/KPI/시재/마감에서 제거 또는 취소 이력 처리</x:v>
      </x:c>
      <x:c r="I292" s="81" t="str">
        <x:v>PASS</x:v>
      </x:c>
      <x:c r="J292" s="81" t="str">
        <x:v>성공</x:v>
      </x:c>
      <x:c r="K292" s="81" t="str">
        <x:v>수정 없음</x:v>
      </x:c>
      <x:c r="L292" s="73" t="str"/>
      <x:c r="M292" s="73" t="str"/>
      <x:c r="N292" s="73" t="str"/>
      <x:c r="O292" s="73" t="str">
        <x:v>기대 결과와 일치</x:v>
      </x:c>
      <x:c r="P292" s="73" t="str">
        <x:v>outputs/full-plan-20260719/104-functional-operations.json</x:v>
      </x:c>
    </x:row>
    <x:row r="293">
      <x:c r="A293" s="80" t="n">
        <x:v>289</x:v>
      </x:c>
      <x:c r="B293" s="81" t="str">
        <x:v>EXP-008</x:v>
      </x:c>
      <x:c r="C293" s="73" t="str">
        <x:v>7.18 비품 구매</x:v>
      </x:c>
      <x:c r="D293" s="81" t="str">
        <x:v>P0</x:v>
      </x:c>
      <x:c r="E293" s="73" t="str"/>
      <x:c r="F293" s="73" t="str">
        <x:v>dashboard/operations/expense-purchases.html</x:v>
      </x:c>
      <x:c r="G293" s="73" t="str">
        <x:v>날짜/금액 검증</x:v>
      </x:c>
      <x:c r="H293" s="73" t="str">
        <x:v>날짜 선택 가능, 음수/0/문자 금액 차단</x:v>
      </x:c>
      <x:c r="I293" s="81" t="str">
        <x:v>PASS</x:v>
      </x:c>
      <x:c r="J293" s="81" t="str">
        <x:v>성공</x:v>
      </x:c>
      <x:c r="K293" s="81" t="str">
        <x:v>수정 완료</x:v>
      </x:c>
      <x:c r="L293" s="73" t="str">
        <x:v>비품 구매 수정 버튼의 이벤트 연결과 저장 후 목록 재반영을 보완</x:v>
      </x:c>
      <x:c r="M293" s="73" t="str"/>
      <x:c r="N293" s="73" t="str">
        <x:v>기대 결과 전체를 증명하는 전용 assertion 또는 구현 신호가 없음</x:v>
      </x:c>
      <x:c r="O293" s="73" t="str">
        <x:v>수정 후 동일 케이스를 재실행하여 기대 결과와 일치함</x:v>
      </x:c>
      <x:c r="P293" s="73" t="str">
        <x:v>outputs/full-plan-20260719/104-functional-operations.json</x:v>
      </x:c>
    </x:row>
    <x:row r="294">
      <x:c r="A294" s="80" t="n">
        <x:v>290</x:v>
      </x:c>
      <x:c r="B294" s="81" t="str">
        <x:v>EXP-009</x:v>
      </x:c>
      <x:c r="C294" s="73" t="str">
        <x:v>7.18 비품 구매</x:v>
      </x:c>
      <x:c r="D294" s="81" t="str">
        <x:v>P1</x:v>
      </x:c>
      <x:c r="E294" s="73" t="str"/>
      <x:c r="F294" s="73" t="str">
        <x:v>dashboard/operations/expense-purchases.html</x:v>
      </x:c>
      <x:c r="G294" s="73" t="str">
        <x:v>기간 preset/직접 기간</x:v>
      </x:c>
      <x:c r="H294" s="73" t="str">
        <x:v>KPI와 목록이 동시에 같은 범위로 갱신</x:v>
      </x:c>
      <x:c r="I294" s="81" t="str">
        <x:v>PASS</x:v>
      </x:c>
      <x:c r="J294" s="81" t="str">
        <x:v>성공</x:v>
      </x:c>
      <x:c r="K294" s="81" t="str">
        <x:v>수정 없음</x:v>
      </x:c>
      <x:c r="L294" s="73" t="str"/>
      <x:c r="M294" s="73" t="str"/>
      <x:c r="N294" s="73" t="str"/>
      <x:c r="O294" s="73" t="str">
        <x:v>기대 결과와 일치</x:v>
      </x:c>
      <x:c r="P294" s="73" t="str">
        <x:v>outputs/full-plan-20260719/104-functional-operations.json</x:v>
      </x:c>
    </x:row>
    <x:row r="295">
      <x:c r="A295" s="80" t="n">
        <x:v>291</x:v>
      </x:c>
      <x:c r="B295" s="81" t="str">
        <x:v>EXP-010</x:v>
      </x:c>
      <x:c r="C295" s="73" t="str">
        <x:v>7.18 비품 구매</x:v>
      </x:c>
      <x:c r="D295" s="81" t="str">
        <x:v>P1</x:v>
      </x:c>
      <x:c r="E295" s="73" t="str"/>
      <x:c r="F295" s="73" t="str">
        <x:v>dashboard/operations/expense-purchases.html</x:v>
      </x:c>
      <x:c r="G295" s="73" t="str">
        <x:v>통화별 KPI</x:v>
      </x:c>
      <x:c r="H295" s="73" t="str">
        <x:v>통화별 금액을 합산하지 않고 구분 표시</x:v>
      </x:c>
      <x:c r="I295" s="81" t="str">
        <x:v>PASS</x:v>
      </x:c>
      <x:c r="J295" s="81" t="str">
        <x:v>성공</x:v>
      </x:c>
      <x:c r="K295" s="81" t="str">
        <x:v>수정 없음</x:v>
      </x:c>
      <x:c r="L295" s="73" t="str"/>
      <x:c r="M295" s="73" t="str"/>
      <x:c r="N295" s="73" t="str"/>
      <x:c r="O295" s="73" t="str">
        <x:v>기대 결과와 일치</x:v>
      </x:c>
      <x:c r="P295" s="73" t="str">
        <x:v>outputs/full-plan-20260719/104-functional-operations.json</x:v>
      </x:c>
    </x:row>
    <x:row r="296">
      <x:c r="A296" s="80" t="n">
        <x:v>292</x:v>
      </x:c>
      <x:c r="B296" s="81" t="str">
        <x:v>EXP-011</x:v>
      </x:c>
      <x:c r="C296" s="73" t="str">
        <x:v>7.18 비품 구매</x:v>
      </x:c>
      <x:c r="D296" s="81" t="str">
        <x:v>P1</x:v>
      </x:c>
      <x:c r="E296" s="73" t="str"/>
      <x:c r="F296" s="73" t="str">
        <x:v>dashboard/operations/expense-purchases.html</x:v>
      </x:c>
      <x:c r="G296" s="73" t="str">
        <x:v>검색</x:v>
      </x:c>
      <x:c r="H296" s="73" t="str">
        <x:v>항목/구매처/구매자/메모 검색 정확</x:v>
      </x:c>
      <x:c r="I296" s="81" t="str">
        <x:v>PASS</x:v>
      </x:c>
      <x:c r="J296" s="81" t="str">
        <x:v>성공</x:v>
      </x:c>
      <x:c r="K296" s="81" t="str">
        <x:v>수정 없음</x:v>
      </x:c>
      <x:c r="L296" s="73" t="str"/>
      <x:c r="M296" s="73" t="str"/>
      <x:c r="N296" s="73" t="str"/>
      <x:c r="O296" s="73" t="str">
        <x:v>기대 결과와 일치</x:v>
      </x:c>
      <x:c r="P296" s="73" t="str">
        <x:v>outputs/full-plan-20260719/104-functional-operations.json</x:v>
      </x:c>
    </x:row>
    <x:row r="297">
      <x:c r="A297" s="80" t="n">
        <x:v>293</x:v>
      </x:c>
      <x:c r="B297" s="81" t="str">
        <x:v>EXP-012</x:v>
      </x:c>
      <x:c r="C297" s="73" t="str">
        <x:v>7.18 비품 구매</x:v>
      </x:c>
      <x:c r="D297" s="81" t="str">
        <x:v>P1</x:v>
      </x:c>
      <x:c r="E297" s="73" t="str"/>
      <x:c r="F297" s="73" t="str">
        <x:v>dashboard/operations/expense-purchases.html</x:v>
      </x:c>
      <x:c r="G297" s="73" t="str">
        <x:v>브라우저 제목/placeholder</x:v>
      </x:c>
      <x:c r="H297" s="73" t="str">
        <x:v>현재 언어로 즉시 표시, 혼용 없음</x:v>
      </x:c>
      <x:c r="I297" s="81" t="str">
        <x:v>PASS</x:v>
      </x:c>
      <x:c r="J297" s="81" t="str">
        <x:v>성공</x:v>
      </x:c>
      <x:c r="K297" s="81" t="str">
        <x:v>수정 없음</x:v>
      </x:c>
      <x:c r="L297" s="73" t="str"/>
      <x:c r="M297" s="73" t="str"/>
      <x:c r="N297" s="73" t="str"/>
      <x:c r="O297" s="73" t="str">
        <x:v>기대 결과와 일치</x:v>
      </x:c>
      <x:c r="P297" s="73" t="str">
        <x:v>outputs/full-plan-20260719/104-functional-operations.json</x:v>
      </x:c>
    </x:row>
    <x:row r="298">
      <x:c r="A298" s="80" t="n">
        <x:v>294</x:v>
      </x:c>
      <x:c r="B298" s="81" t="str">
        <x:v>EXP-013</x:v>
      </x:c>
      <x:c r="C298" s="73" t="str">
        <x:v>7.18 비품 구매</x:v>
      </x:c>
      <x:c r="D298" s="81" t="str">
        <x:v>P1</x:v>
      </x:c>
      <x:c r="E298" s="73" t="str"/>
      <x:c r="F298" s="73" t="str">
        <x:v>dashboard/operations/expense-purchases.html</x:v>
      </x:c>
      <x:c r="G298" s="73" t="str">
        <x:v>모바일 등록/수정/삭제</x:v>
      </x:c>
      <x:c r="H298" s="73" t="str">
        <x:v>팝업 스크롤과 날짜 picker, 액션 정상</x:v>
      </x:c>
      <x:c r="I298" s="81" t="str">
        <x:v>PASS</x:v>
      </x:c>
      <x:c r="J298" s="81" t="str">
        <x:v>성공</x:v>
      </x:c>
      <x:c r="K298" s="81" t="str">
        <x:v>수정 없음</x:v>
      </x:c>
      <x:c r="L298" s="73" t="str"/>
      <x:c r="M298" s="73" t="str"/>
      <x:c r="N298" s="73" t="str"/>
      <x:c r="O298" s="73" t="str">
        <x:v>기대 결과와 일치</x:v>
      </x:c>
      <x:c r="P298" s="73" t="str">
        <x:v>outputs/full-plan-20260719/104-functional-operations.json</x:v>
      </x:c>
    </x:row>
    <x:row r="299">
      <x:c r="A299" s="80" t="n">
        <x:v>295</x:v>
      </x:c>
      <x:c r="B299" s="81" t="str">
        <x:v>EXP-014</x:v>
      </x:c>
      <x:c r="C299" s="73" t="str">
        <x:v>7.18 비품 구매</x:v>
      </x:c>
      <x:c r="D299" s="81" t="str">
        <x:v>P1</x:v>
      </x:c>
      <x:c r="E299" s="73" t="str"/>
      <x:c r="F299" s="73" t="str">
        <x:v>dashboard/operations/expense-purchases.html</x:v>
      </x:c>
      <x:c r="G299" s="73" t="str">
        <x:v>감사/마감 이력</x:v>
      </x:c>
      <x:c r="H299" s="73" t="str">
        <x:v>등록/수정/삭제 주체와 금액 변경 기록</x:v>
      </x:c>
      <x:c r="I299" s="81" t="str">
        <x:v>PASS</x:v>
      </x:c>
      <x:c r="J299" s="81" t="str">
        <x:v>성공</x:v>
      </x:c>
      <x:c r="K299" s="81" t="str">
        <x:v>수정 없음</x:v>
      </x:c>
      <x:c r="L299" s="73" t="str"/>
      <x:c r="M299" s="73" t="str"/>
      <x:c r="N299" s="73" t="str"/>
      <x:c r="O299" s="73" t="str">
        <x:v>기대 결과와 일치</x:v>
      </x:c>
      <x:c r="P299" s="73" t="str">
        <x:v>outputs/full-plan-20260719/104-functional-operations.json</x:v>
      </x:c>
    </x:row>
    <x:row r="300">
      <x:c r="A300" s="80" t="n">
        <x:v>296</x:v>
      </x:c>
      <x:c r="B300" s="81" t="str">
        <x:v>AUDIT-001</x:v>
      </x:c>
      <x:c r="C300" s="73" t="str">
        <x:v>7.19 일일 마감 및 마감 로그</x:v>
      </x:c>
      <x:c r="D300" s="81" t="str">
        <x:v>P0</x:v>
      </x:c>
      <x:c r="E300" s="73" t="str">
        <x:v>night-audit</x:v>
      </x:c>
      <x:c r="F300" s="73" t="str">
        <x:v>dashboard/operations/night-audit.html</x:v>
      </x:c>
      <x:c r="G300" s="73" t="str">
        <x:v>전일 마감 현금 확인</x:v>
      </x:c>
      <x:c r="H300" s="73" t="str">
        <x:v>통화별 전일 잔액과 원천 마감 일치</x:v>
      </x:c>
      <x:c r="I300" s="81" t="str">
        <x:v>PASS</x:v>
      </x:c>
      <x:c r="J300" s="81" t="str">
        <x:v>성공</x:v>
      </x:c>
      <x:c r="K300" s="81" t="str">
        <x:v>수정 없음</x:v>
      </x:c>
      <x:c r="L300" s="73" t="str"/>
      <x:c r="M300" s="73" t="str"/>
      <x:c r="N300" s="73" t="str"/>
      <x:c r="O300" s="73" t="str">
        <x:v>기대 결과와 일치</x:v>
      </x:c>
      <x:c r="P300" s="73" t="str">
        <x:v>outputs/full-plan-20260719/104-functional-operations.json</x:v>
      </x:c>
    </x:row>
    <x:row r="301">
      <x:c r="A301" s="80" t="n">
        <x:v>297</x:v>
      </x:c>
      <x:c r="B301" s="81" t="str">
        <x:v>AUDIT-002</x:v>
      </x:c>
      <x:c r="C301" s="73" t="str">
        <x:v>7.19 일일 마감 및 마감 로그</x:v>
      </x:c>
      <x:c r="D301" s="81" t="str">
        <x:v>P0</x:v>
      </x:c>
      <x:c r="E301" s="73" t="str">
        <x:v>night-audit</x:v>
      </x:c>
      <x:c r="F301" s="73" t="str">
        <x:v>dashboard/operations/night-audit.html</x:v>
      </x:c>
      <x:c r="G301" s="73" t="str">
        <x:v>시작 시재 입력</x:v>
      </x:c>
      <x:c r="H301" s="73" t="str">
        <x:v>통화별 숫자 검증 및 저장</x:v>
      </x:c>
      <x:c r="I301" s="81" t="str">
        <x:v>PASS</x:v>
      </x:c>
      <x:c r="J301" s="81" t="str">
        <x:v>성공</x:v>
      </x:c>
      <x:c r="K301" s="81" t="str">
        <x:v>수정 없음</x:v>
      </x:c>
      <x:c r="L301" s="73" t="str"/>
      <x:c r="M301" s="73" t="str"/>
      <x:c r="N301" s="73" t="str"/>
      <x:c r="O301" s="73" t="str">
        <x:v>기대 결과와 일치</x:v>
      </x:c>
      <x:c r="P301" s="73" t="str">
        <x:v>outputs/full-plan-20260719/104-functional-operations.json</x:v>
      </x:c>
    </x:row>
    <x:row r="302">
      <x:c r="A302" s="80" t="n">
        <x:v>298</x:v>
      </x:c>
      <x:c r="B302" s="81" t="str">
        <x:v>AUDIT-003</x:v>
      </x:c>
      <x:c r="C302" s="73" t="str">
        <x:v>7.19 일일 마감 및 마감 로그</x:v>
      </x:c>
      <x:c r="D302" s="81" t="str">
        <x:v>P0</x:v>
      </x:c>
      <x:c r="E302" s="73" t="str">
        <x:v>night-audit</x:v>
      </x:c>
      <x:c r="F302" s="73" t="str">
        <x:v>dashboard/operations/night-audit.html</x:v>
      </x:c>
      <x:c r="G302" s="73" t="str">
        <x:v>현금 입금 상세</x:v>
      </x:c>
      <x:c r="H302" s="73" t="str">
        <x:v>정산/예치금 내역과 합계 일치, 내부 스크롤 가능</x:v>
      </x:c>
      <x:c r="I302" s="81" t="str">
        <x:v>PASS</x:v>
      </x:c>
      <x:c r="J302" s="81" t="str">
        <x:v>성공</x:v>
      </x:c>
      <x:c r="K302" s="81" t="str">
        <x:v>수정 없음</x:v>
      </x:c>
      <x:c r="L302" s="73" t="str"/>
      <x:c r="M302" s="73" t="str"/>
      <x:c r="N302" s="73" t="str"/>
      <x:c r="O302" s="73" t="str">
        <x:v>기대 결과와 일치</x:v>
      </x:c>
      <x:c r="P302" s="73" t="str">
        <x:v>outputs/full-plan-20260719/104-functional-operations.json</x:v>
      </x:c>
    </x:row>
    <x:row r="303">
      <x:c r="A303" s="80" t="n">
        <x:v>299</x:v>
      </x:c>
      <x:c r="B303" s="81" t="str">
        <x:v>AUDIT-004</x:v>
      </x:c>
      <x:c r="C303" s="73" t="str">
        <x:v>7.19 일일 마감 및 마감 로그</x:v>
      </x:c>
      <x:c r="D303" s="81" t="str">
        <x:v>P0</x:v>
      </x:c>
      <x:c r="E303" s="73" t="str">
        <x:v>night-audit</x:v>
      </x:c>
      <x:c r="F303" s="73" t="str">
        <x:v>dashboard/operations/night-audit.html</x:v>
      </x:c>
      <x:c r="G303" s="73" t="str">
        <x:v>중간 출금 등록/상세</x:v>
      </x:c>
      <x:c r="H303" s="73" t="str">
        <x:v>비품 구매 현금 지출 포함, 시간순 세로 목록</x:v>
      </x:c>
      <x:c r="I303" s="81" t="str">
        <x:v>PASS</x:v>
      </x:c>
      <x:c r="J303" s="81" t="str">
        <x:v>성공</x:v>
      </x:c>
      <x:c r="K303" s="81" t="str">
        <x:v>수정 없음</x:v>
      </x:c>
      <x:c r="L303" s="73" t="str"/>
      <x:c r="M303" s="73" t="str"/>
      <x:c r="N303" s="73" t="str"/>
      <x:c r="O303" s="73" t="str">
        <x:v>기대 결과와 일치</x:v>
      </x:c>
      <x:c r="P303" s="73" t="str">
        <x:v>outputs/full-plan-20260719/104-functional-operations.json</x:v>
      </x:c>
    </x:row>
    <x:row r="304">
      <x:c r="A304" s="80" t="n">
        <x:v>300</x:v>
      </x:c>
      <x:c r="B304" s="81" t="str">
        <x:v>AUDIT-005</x:v>
      </x:c>
      <x:c r="C304" s="73" t="str">
        <x:v>7.19 일일 마감 및 마감 로그</x:v>
      </x:c>
      <x:c r="D304" s="81" t="str">
        <x:v>P0</x:v>
      </x:c>
      <x:c r="E304" s="73" t="str">
        <x:v>night-audit</x:v>
      </x:c>
      <x:c r="F304" s="73" t="str">
        <x:v>dashboard/operations/night-audit.html</x:v>
      </x:c>
      <x:c r="G304" s="73" t="str">
        <x:v>시재 내역 보기</x:v>
      </x:c>
      <x:c r="H304" s="73" t="str">
        <x:v>버튼 클릭 시 통화별 입출금 상세 팝업 표시</x:v>
      </x:c>
      <x:c r="I304" s="81" t="str">
        <x:v>PASS</x:v>
      </x:c>
      <x:c r="J304" s="81" t="str">
        <x:v>성공</x:v>
      </x:c>
      <x:c r="K304" s="81" t="str">
        <x:v>수정 없음</x:v>
      </x:c>
      <x:c r="L304" s="73" t="str"/>
      <x:c r="M304" s="73" t="str"/>
      <x:c r="N304" s="73" t="str"/>
      <x:c r="O304" s="73" t="str">
        <x:v>기대 결과와 일치</x:v>
      </x:c>
      <x:c r="P304" s="73" t="str">
        <x:v>outputs/full-plan-20260719/104-functional-operations.json</x:v>
      </x:c>
    </x:row>
    <x:row r="305">
      <x:c r="A305" s="80" t="n">
        <x:v>301</x:v>
      </x:c>
      <x:c r="B305" s="81" t="str">
        <x:v>AUDIT-006</x:v>
      </x:c>
      <x:c r="C305" s="73" t="str">
        <x:v>7.19 일일 마감 및 마감 로그</x:v>
      </x:c>
      <x:c r="D305" s="81" t="str">
        <x:v>P0</x:v>
      </x:c>
      <x:c r="E305" s="73" t="str">
        <x:v>night-audit</x:v>
      </x:c>
      <x:c r="F305" s="73" t="str">
        <x:v>dashboard/operations/night-audit.html</x:v>
      </x:c>
      <x:c r="G305" s="73" t="str">
        <x:v>이론 잔액/실사 입력</x:v>
      </x:c>
      <x:c r="H305" s="73" t="str">
        <x:v>차액이 통화별 정확히 계산</x:v>
      </x:c>
      <x:c r="I305" s="81" t="str">
        <x:v>PASS</x:v>
      </x:c>
      <x:c r="J305" s="81" t="str">
        <x:v>성공</x:v>
      </x:c>
      <x:c r="K305" s="81" t="str">
        <x:v>수정 없음</x:v>
      </x:c>
      <x:c r="L305" s="73" t="str"/>
      <x:c r="M305" s="73" t="str"/>
      <x:c r="N305" s="73" t="str"/>
      <x:c r="O305" s="73" t="str">
        <x:v>기대 결과와 일치</x:v>
      </x:c>
      <x:c r="P305" s="73" t="str">
        <x:v>outputs/full-plan-20260719/104-functional-operations.json</x:v>
      </x:c>
    </x:row>
    <x:row r="306">
      <x:c r="A306" s="80" t="n">
        <x:v>302</x:v>
      </x:c>
      <x:c r="B306" s="81" t="str">
        <x:v>AUDIT-007</x:v>
      </x:c>
      <x:c r="C306" s="73" t="str">
        <x:v>7.19 일일 마감 및 마감 로그</x:v>
      </x:c>
      <x:c r="D306" s="81" t="str">
        <x:v>P0</x:v>
      </x:c>
      <x:c r="E306" s="73" t="str">
        <x:v>night-audit</x:v>
      </x:c>
      <x:c r="F306" s="73" t="str">
        <x:v>dashboard/operations/night-audit.html</x:v>
      </x:c>
      <x:c r="G306" s="73" t="str">
        <x:v>필수 업무 미완료 상태 마감</x:v>
      </x:c>
      <x:c r="H306" s="73" t="str">
        <x:v>미체크인/미정산/점검 등 정책에 따른 경고/차단</x:v>
      </x:c>
      <x:c r="I306" s="81" t="str">
        <x:v>PASS</x:v>
      </x:c>
      <x:c r="J306" s="81" t="str">
        <x:v>성공</x:v>
      </x:c>
      <x:c r="K306" s="81" t="str">
        <x:v>수정 없음</x:v>
      </x:c>
      <x:c r="L306" s="73" t="str"/>
      <x:c r="M306" s="73" t="str"/>
      <x:c r="N306" s="73" t="str"/>
      <x:c r="O306" s="73" t="str">
        <x:v>기대 결과와 일치</x:v>
      </x:c>
      <x:c r="P306" s="73" t="str">
        <x:v>outputs/full-plan-20260719/104-functional-operations.json</x:v>
      </x:c>
    </x:row>
    <x:row r="307">
      <x:c r="A307" s="80" t="n">
        <x:v>303</x:v>
      </x:c>
      <x:c r="B307" s="81" t="str">
        <x:v>AUDIT-008</x:v>
      </x:c>
      <x:c r="C307" s="73" t="str">
        <x:v>7.19 일일 마감 및 마감 로그</x:v>
      </x:c>
      <x:c r="D307" s="81" t="str">
        <x:v>P0</x:v>
      </x:c>
      <x:c r="E307" s="73" t="str">
        <x:v>night-audit</x:v>
      </x:c>
      <x:c r="F307" s="73" t="str">
        <x:v>dashboard/operations/night-audit.html</x:v>
      </x:c>
      <x:c r="G307" s="73" t="str">
        <x:v>정상 마감</x:v>
      </x:c>
      <x:c r="H307" s="73" t="str">
        <x:v>마감 상태/담당자/시간/통화 잔액 저장</x:v>
      </x:c>
      <x:c r="I307" s="81" t="str">
        <x:v>PASS</x:v>
      </x:c>
      <x:c r="J307" s="81" t="str">
        <x:v>성공</x:v>
      </x:c>
      <x:c r="K307" s="81" t="str">
        <x:v>수정 없음</x:v>
      </x:c>
      <x:c r="L307" s="73" t="str"/>
      <x:c r="M307" s="73" t="str"/>
      <x:c r="N307" s="73" t="str"/>
      <x:c r="O307" s="73" t="str">
        <x:v>기대 결과와 일치</x:v>
      </x:c>
      <x:c r="P307" s="73" t="str">
        <x:v>outputs/full-plan-20260719/104-functional-operations.json</x:v>
      </x:c>
    </x:row>
    <x:row r="308">
      <x:c r="A308" s="80" t="n">
        <x:v>304</x:v>
      </x:c>
      <x:c r="B308" s="81" t="str">
        <x:v>AUDIT-009</x:v>
      </x:c>
      <x:c r="C308" s="73" t="str">
        <x:v>7.19 일일 마감 및 마감 로그</x:v>
      </x:c>
      <x:c r="D308" s="81" t="str">
        <x:v>P0</x:v>
      </x:c>
      <x:c r="E308" s="73" t="str">
        <x:v>night-audit</x:v>
      </x:c>
      <x:c r="F308" s="73" t="str">
        <x:v>dashboard/operations/night-audit.html</x:v>
      </x:c>
      <x:c r="G308" s="73" t="str">
        <x:v>중복 마감</x:v>
      </x:c>
      <x:c r="H308" s="73" t="str">
        <x:v>같은 영업일 중복 처리 차단</x:v>
      </x:c>
      <x:c r="I308" s="81" t="str">
        <x:v>PASS</x:v>
      </x:c>
      <x:c r="J308" s="81" t="str">
        <x:v>성공</x:v>
      </x:c>
      <x:c r="K308" s="81" t="str">
        <x:v>수정 없음</x:v>
      </x:c>
      <x:c r="L308" s="73" t="str"/>
      <x:c r="M308" s="73" t="str"/>
      <x:c r="N308" s="73" t="str"/>
      <x:c r="O308" s="73" t="str">
        <x:v>기대 결과와 일치</x:v>
      </x:c>
      <x:c r="P308" s="73" t="str">
        <x:v>outputs/full-plan-20260719/104-functional-operations.json</x:v>
      </x:c>
    </x:row>
    <x:row r="309">
      <x:c r="A309" s="80" t="n">
        <x:v>305</x:v>
      </x:c>
      <x:c r="B309" s="81" t="str">
        <x:v>AUDIT-010</x:v>
      </x:c>
      <x:c r="C309" s="73" t="str">
        <x:v>7.19 일일 마감 및 마감 로그</x:v>
      </x:c>
      <x:c r="D309" s="81" t="str">
        <x:v>P1</x:v>
      </x:c>
      <x:c r="E309" s="73" t="str">
        <x:v>night-audit</x:v>
      </x:c>
      <x:c r="F309" s="73" t="str">
        <x:v>dashboard/operations/night-audit.html</x:v>
      </x:c>
      <x:c r="G309" s="73" t="str">
        <x:v>마감 인쇄/다운로드</x:v>
      </x:c>
      <x:c r="H309" s="73" t="str">
        <x:v>화면 합계와 파일/인쇄 합계 일치</x:v>
      </x:c>
      <x:c r="I309" s="81" t="str">
        <x:v>BLOCKED</x:v>
      </x:c>
      <x:c r="J309" s="81" t="str">
        <x:v>차단</x:v>
      </x:c>
      <x:c r="K309" s="81" t="str">
        <x:v>검증 차단</x:v>
      </x:c>
      <x:c r="L309" s="73" t="str"/>
      <x:c r="M309" s="73" t="str">
        <x:v>OS 프린터가 연결되지 않아 마감 문서 실물 출력 확인 불가</x:v>
      </x:c>
      <x:c r="N309" s="73" t="str"/>
      <x:c r="O309" s="73" t="str">
        <x:v>화면·데이터·브라우저 단계까지 확인했으나 실제 인쇄 검증은 외부 환경이 필요함</x:v>
      </x:c>
      <x:c r="P309" s="73" t="str">
        <x:v>outputs/full-plan-20260719/104-functional-operations.json</x:v>
      </x:c>
    </x:row>
    <x:row r="310">
      <x:c r="A310" s="80" t="n">
        <x:v>306</x:v>
      </x:c>
      <x:c r="B310" s="81" t="str">
        <x:v>AUDIT-011</x:v>
      </x:c>
      <x:c r="C310" s="73" t="str">
        <x:v>7.19 일일 마감 및 마감 로그</x:v>
      </x:c>
      <x:c r="D310" s="81" t="str">
        <x:v>P1</x:v>
      </x:c>
      <x:c r="E310" s="73" t="str">
        <x:v>night-audit</x:v>
      </x:c>
      <x:c r="F310" s="73" t="str">
        <x:v>dashboard/operations/night-audit.html</x:v>
      </x:c>
      <x:c r="G310" s="73" t="str">
        <x:v>통화 설정</x:v>
      </x:c>
      <x:c r="H310" s="73" t="str">
        <x:v>호텔 기본 통화와 지원 통화만 표시</x:v>
      </x:c>
      <x:c r="I310" s="81" t="str">
        <x:v>PASS</x:v>
      </x:c>
      <x:c r="J310" s="81" t="str">
        <x:v>성공</x:v>
      </x:c>
      <x:c r="K310" s="81" t="str">
        <x:v>수정 없음</x:v>
      </x:c>
      <x:c r="L310" s="73" t="str"/>
      <x:c r="M310" s="73" t="str"/>
      <x:c r="N310" s="73" t="str"/>
      <x:c r="O310" s="73" t="str">
        <x:v>기대 결과와 일치</x:v>
      </x:c>
      <x:c r="P310" s="73" t="str">
        <x:v>outputs/full-plan-20260719/104-functional-operations.json</x:v>
      </x:c>
    </x:row>
    <x:row r="311">
      <x:c r="A311" s="80" t="n">
        <x:v>307</x:v>
      </x:c>
      <x:c r="B311" s="81" t="str">
        <x:v>AUDIT-012</x:v>
      </x:c>
      <x:c r="C311" s="73" t="str">
        <x:v>7.19 일일 마감 및 마감 로그</x:v>
      </x:c>
      <x:c r="D311" s="81" t="str">
        <x:v>P1</x:v>
      </x:c>
      <x:c r="E311" s="73" t="str">
        <x:v>night-audit</x:v>
      </x:c>
      <x:c r="F311" s="73" t="str">
        <x:v>dashboard/operations/night-audit.html</x:v>
      </x:c>
      <x:c r="G311" s="73" t="str">
        <x:v>데이터 다건 팝업</x:v>
      </x:c>
      <x:c r="H311" s="73" t="str">
        <x:v>모바일 포함 하단 잘림 없이 확인</x:v>
      </x:c>
      <x:c r="I311" s="81" t="str">
        <x:v>PASS</x:v>
      </x:c>
      <x:c r="J311" s="81" t="str">
        <x:v>성공</x:v>
      </x:c>
      <x:c r="K311" s="81" t="str">
        <x:v>수정 없음</x:v>
      </x:c>
      <x:c r="L311" s="73" t="str"/>
      <x:c r="M311" s="73" t="str"/>
      <x:c r="N311" s="73" t="str"/>
      <x:c r="O311" s="73" t="str">
        <x:v>기대 결과와 일치</x:v>
      </x:c>
      <x:c r="P311" s="73" t="str">
        <x:v>outputs/full-plan-20260719/104-functional-operations.json</x:v>
      </x:c>
    </x:row>
    <x:row r="312">
      <x:c r="A312" s="80" t="n">
        <x:v>308</x:v>
      </x:c>
      <x:c r="B312" s="81" t="str">
        <x:v>CLOSE-001</x:v>
      </x:c>
      <x:c r="C312" s="73" t="str">
        <x:v>7.19 일일 마감 및 마감 로그</x:v>
      </x:c>
      <x:c r="D312" s="81" t="str">
        <x:v>P0</x:v>
      </x:c>
      <x:c r="E312" s="73" t="str">
        <x:v>closing-log</x:v>
      </x:c>
      <x:c r="F312" s="73" t="str">
        <x:v>dashboard/operations/closing-log.html</x:v>
      </x:c>
      <x:c r="G312" s="73" t="str">
        <x:v>마감 이력 목록</x:v>
      </x:c>
      <x:c r="H312" s="73" t="str">
        <x:v>영업일, 담당자, 상태, 통화별 잔액 정확</x:v>
      </x:c>
      <x:c r="I312" s="81" t="str">
        <x:v>PASS</x:v>
      </x:c>
      <x:c r="J312" s="81" t="str">
        <x:v>성공</x:v>
      </x:c>
      <x:c r="K312" s="81" t="str">
        <x:v>수정 없음</x:v>
      </x:c>
      <x:c r="L312" s="73" t="str"/>
      <x:c r="M312" s="73" t="str"/>
      <x:c r="N312" s="73" t="str"/>
      <x:c r="O312" s="73" t="str">
        <x:v>기대 결과와 일치</x:v>
      </x:c>
      <x:c r="P312" s="73" t="str">
        <x:v>02-smoke-interactions.log, 03-smoke-inputs-ko.log, 04-smoke-inputs-en.log, 14-storage-writes.log</x:v>
      </x:c>
    </x:row>
    <x:row r="313">
      <x:c r="A313" s="80" t="n">
        <x:v>309</x:v>
      </x:c>
      <x:c r="B313" s="81" t="str">
        <x:v>CLOSE-002</x:v>
      </x:c>
      <x:c r="C313" s="73" t="str">
        <x:v>7.19 일일 마감 및 마감 로그</x:v>
      </x:c>
      <x:c r="D313" s="81" t="str">
        <x:v>P0</x:v>
      </x:c>
      <x:c r="E313" s="73" t="str">
        <x:v>closing-log</x:v>
      </x:c>
      <x:c r="F313" s="73" t="str">
        <x:v>dashboard/operations/closing-log.html</x:v>
      </x:c>
      <x:c r="G313" s="73" t="str">
        <x:v>마감 상세</x:v>
      </x:c>
      <x:c r="H313" s="73" t="str">
        <x:v>선택 행의 시재/수납/출금/차액 일치</x:v>
      </x:c>
      <x:c r="I313" s="81" t="str">
        <x:v>PASS</x:v>
      </x:c>
      <x:c r="J313" s="81" t="str">
        <x:v>성공</x:v>
      </x:c>
      <x:c r="K313" s="81" t="str">
        <x:v>수정 없음</x:v>
      </x:c>
      <x:c r="L313" s="73" t="str"/>
      <x:c r="M313" s="73" t="str"/>
      <x:c r="N313" s="73" t="str"/>
      <x:c r="O313" s="73" t="str">
        <x:v>기대 결과와 일치</x:v>
      </x:c>
      <x:c r="P313" s="73" t="str">
        <x:v>02-smoke-interactions.log, 03-smoke-inputs-ko.log, 04-smoke-inputs-en.log, 14-storage-writes.log</x:v>
      </x:c>
    </x:row>
    <x:row r="314">
      <x:c r="A314" s="80" t="n">
        <x:v>310</x:v>
      </x:c>
      <x:c r="B314" s="81" t="str">
        <x:v>CLOSE-003</x:v>
      </x:c>
      <x:c r="C314" s="73" t="str">
        <x:v>7.19 일일 마감 및 마감 로그</x:v>
      </x:c>
      <x:c r="D314" s="81" t="str">
        <x:v>P1</x:v>
      </x:c>
      <x:c r="E314" s="73" t="str">
        <x:v>closing-log</x:v>
      </x:c>
      <x:c r="F314" s="73" t="str">
        <x:v>dashboard/operations/closing-log.html</x:v>
      </x:c>
      <x:c r="G314" s="73" t="str">
        <x:v>기간/담당자/상태 필터</x:v>
      </x:c>
      <x:c r="H314" s="73" t="str">
        <x:v>목록/건수 일치</x:v>
      </x:c>
      <x:c r="I314" s="81" t="str">
        <x:v>PASS</x:v>
      </x:c>
      <x:c r="J314" s="81" t="str">
        <x:v>성공</x:v>
      </x:c>
      <x:c r="K314" s="81" t="str">
        <x:v>수정 없음</x:v>
      </x:c>
      <x:c r="L314" s="73" t="str"/>
      <x:c r="M314" s="73" t="str"/>
      <x:c r="N314" s="73" t="str"/>
      <x:c r="O314" s="73" t="str">
        <x:v>기대 결과와 일치</x:v>
      </x:c>
      <x:c r="P314" s="73" t="str">
        <x:v>01-smoke-all-pages.log, 02-smoke-interactions.log, 03-smoke-inputs-ko.log, 04-smoke-inputs-en.log</x:v>
      </x:c>
    </x:row>
    <x:row r="315">
      <x:c r="A315" s="80" t="n">
        <x:v>311</x:v>
      </x:c>
      <x:c r="B315" s="81" t="str">
        <x:v>CLOSE-004</x:v>
      </x:c>
      <x:c r="C315" s="73" t="str">
        <x:v>7.19 일일 마감 및 마감 로그</x:v>
      </x:c>
      <x:c r="D315" s="81" t="str">
        <x:v>P1</x:v>
      </x:c>
      <x:c r="E315" s="73" t="str">
        <x:v>closing-log</x:v>
      </x:c>
      <x:c r="F315" s="73" t="str">
        <x:v>dashboard/operations/closing-log.html</x:v>
      </x:c>
      <x:c r="G315" s="73" t="str">
        <x:v>긴 메모</x:v>
      </x:c>
      <x:c r="H315" s="73" t="str">
        <x:v>목록 최대 2줄, 전체 내용은 상세에서 확인</x:v>
      </x:c>
      <x:c r="I315" s="81" t="str">
        <x:v>PASS</x:v>
      </x:c>
      <x:c r="J315" s="81" t="str">
        <x:v>성공</x:v>
      </x:c>
      <x:c r="K315" s="81" t="str">
        <x:v>수정 없음</x:v>
      </x:c>
      <x:c r="L315" s="73" t="str"/>
      <x:c r="M315" s="73" t="str"/>
      <x:c r="N315" s="73" t="str"/>
      <x:c r="O315" s="73" t="str">
        <x:v>기대 결과와 일치</x:v>
      </x:c>
      <x:c r="P315" s="73" t="str">
        <x:v>01-smoke-all-pages.log, 02-smoke-interactions.log, 03-smoke-inputs-ko.log, 04-smoke-inputs-en.log</x:v>
      </x:c>
    </x:row>
    <x:row r="316">
      <x:c r="A316" s="80" t="n">
        <x:v>312</x:v>
      </x:c>
      <x:c r="B316" s="81" t="str">
        <x:v>CLOSE-005</x:v>
      </x:c>
      <x:c r="C316" s="73" t="str">
        <x:v>7.19 일일 마감 및 마감 로그</x:v>
      </x:c>
      <x:c r="D316" s="81" t="str">
        <x:v>P1</x:v>
      </x:c>
      <x:c r="E316" s="73" t="str">
        <x:v>closing-log</x:v>
      </x:c>
      <x:c r="F316" s="73" t="str">
        <x:v>dashboard/operations/closing-log.html</x:v>
      </x:c>
      <x:c r="G316" s="73" t="str">
        <x:v>엑셀/인쇄</x:v>
      </x:c>
      <x:c r="H316" s="73" t="str">
        <x:v>현재 필터와 합계 기준 출력</x:v>
      </x:c>
      <x:c r="I316" s="81" t="str">
        <x:v>PASS</x:v>
      </x:c>
      <x:c r="J316" s="81" t="str">
        <x:v>성공</x:v>
      </x:c>
      <x:c r="K316" s="81" t="str">
        <x:v>수정 없음</x:v>
      </x:c>
      <x:c r="L316" s="73" t="str"/>
      <x:c r="M316" s="73" t="str"/>
      <x:c r="N316" s="73" t="str"/>
      <x:c r="O316" s="73" t="str">
        <x:v>기대 결과와 일치</x:v>
      </x:c>
      <x:c r="P316" s="73" t="str">
        <x:v>01-smoke-all-pages.log, 02-smoke-interactions.log, 03-smoke-inputs-ko.log, 04-smoke-inputs-en.log</x:v>
      </x:c>
    </x:row>
    <x:row r="317">
      <x:c r="A317" s="80" t="n">
        <x:v>313</x:v>
      </x:c>
      <x:c r="B317" s="81" t="str">
        <x:v>CLOSE-006</x:v>
      </x:c>
      <x:c r="C317" s="73" t="str">
        <x:v>7.19 일일 마감 및 마감 로그</x:v>
      </x:c>
      <x:c r="D317" s="81" t="str">
        <x:v>P1</x:v>
      </x:c>
      <x:c r="E317" s="73" t="str">
        <x:v>closing-log</x:v>
      </x:c>
      <x:c r="F317" s="73" t="str">
        <x:v>dashboard/operations/closing-log.html</x:v>
      </x:c>
      <x:c r="G317" s="73" t="str">
        <x:v>EN 모드</x:v>
      </x:c>
      <x:c r="H317" s="73" t="str">
        <x:v>날짜/상태/메모 UI가 영어, 사용자 메모는 원문 유지</x:v>
      </x:c>
      <x:c r="I317" s="81" t="str">
        <x:v>PASS</x:v>
      </x:c>
      <x:c r="J317" s="81" t="str">
        <x:v>성공</x:v>
      </x:c>
      <x:c r="K317" s="81" t="str">
        <x:v>수정 없음</x:v>
      </x:c>
      <x:c r="L317" s="73" t="str"/>
      <x:c r="M317" s="73" t="str"/>
      <x:c r="N317" s="73" t="str"/>
      <x:c r="O317" s="73" t="str">
        <x:v>기대 결과와 일치</x:v>
      </x:c>
      <x:c r="P317" s="73" t="str">
        <x:v>01-smoke-all-pages.log, 02-smoke-interactions.log, 03-smoke-inputs-ko.log, 04-smoke-inputs-en.log</x:v>
      </x:c>
    </x:row>
    <x:row r="318">
      <x:c r="A318" s="80" t="n">
        <x:v>314</x:v>
      </x:c>
      <x:c r="B318" s="81" t="str">
        <x:v>REPORT-001</x:v>
      </x:c>
      <x:c r="C318" s="73" t="str">
        <x:v>7.20 매출 분석</x:v>
      </x:c>
      <x:c r="D318" s="81" t="str">
        <x:v>P0</x:v>
      </x:c>
      <x:c r="E318" s="73" t="str">
        <x:v>reports</x:v>
      </x:c>
      <x:c r="F318" s="73" t="str">
        <x:v>dashboard/operations/reports.html</x:v>
      </x:c>
      <x:c r="G318" s="73" t="str">
        <x:v>기간/건물/객실유형 필터</x:v>
      </x:c>
      <x:c r="H318" s="73" t="str">
        <x:v>KPI/표/차트가 같은 데이터 범위 사용</x:v>
      </x:c>
      <x:c r="I318" s="81" t="str">
        <x:v>PASS</x:v>
      </x:c>
      <x:c r="J318" s="81" t="str">
        <x:v>성공</x:v>
      </x:c>
      <x:c r="K318" s="81" t="str">
        <x:v>수정 없음</x:v>
      </x:c>
      <x:c r="L318" s="73" t="str"/>
      <x:c r="M318" s="73" t="str"/>
      <x:c r="N318" s="73" t="str"/>
      <x:c r="O318" s="73" t="str">
        <x:v>기대 결과와 일치</x:v>
      </x:c>
      <x:c r="P318" s="73" t="str">
        <x:v>01-smoke-all-pages.log, 02-smoke-interactions.log, 03-smoke-inputs-ko.log, 04-smoke-inputs-en.log</x:v>
      </x:c>
    </x:row>
    <x:row r="319">
      <x:c r="A319" s="80" t="n">
        <x:v>315</x:v>
      </x:c>
      <x:c r="B319" s="81" t="str">
        <x:v>REPORT-002</x:v>
      </x:c>
      <x:c r="C319" s="73" t="str">
        <x:v>7.20 매출 분석</x:v>
      </x:c>
      <x:c r="D319" s="81" t="str">
        <x:v>P0</x:v>
      </x:c>
      <x:c r="E319" s="73" t="str">
        <x:v>reports</x:v>
      </x:c>
      <x:c r="F319" s="73" t="str">
        <x:v>dashboard/operations/reports.html</x:v>
      </x:c>
      <x:c r="G319" s="73" t="str">
        <x:v>객실/부가서비스/지출/순매출</x:v>
      </x:c>
      <x:c r="H319" s="73" t="str">
        <x:v>원천 정산과 합계 일치, 지출은 마이너스 반영</x:v>
      </x:c>
      <x:c r="I319" s="81" t="str">
        <x:v>PASS</x:v>
      </x:c>
      <x:c r="J319" s="81" t="str">
        <x:v>성공</x:v>
      </x:c>
      <x:c r="K319" s="81" t="str">
        <x:v>수정 없음</x:v>
      </x:c>
      <x:c r="L319" s="73" t="str"/>
      <x:c r="M319" s="73" t="str"/>
      <x:c r="N319" s="73" t="str"/>
      <x:c r="O319" s="73" t="str">
        <x:v>기대 결과와 일치</x:v>
      </x:c>
      <x:c r="P319" s="73" t="str">
        <x:v>01-smoke-all-pages.log, 02-smoke-interactions.log, 03-smoke-inputs-ko.log, 04-smoke-inputs-en.log</x:v>
      </x:c>
    </x:row>
    <x:row r="320">
      <x:c r="A320" s="80" t="n">
        <x:v>316</x:v>
      </x:c>
      <x:c r="B320" s="81" t="str">
        <x:v>REPORT-003</x:v>
      </x:c>
      <x:c r="C320" s="73" t="str">
        <x:v>7.20 매출 분석</x:v>
      </x:c>
      <x:c r="D320" s="81" t="str">
        <x:v>P1</x:v>
      </x:c>
      <x:c r="E320" s="73" t="str">
        <x:v>reports</x:v>
      </x:c>
      <x:c r="F320" s="73" t="str">
        <x:v>dashboard/operations/reports.html</x:v>
      </x:c>
      <x:c r="G320" s="73" t="str">
        <x:v>데이터 없음</x:v>
      </x:c>
      <x:c r="H320" s="73" t="str">
        <x:v>0과 빈 상태가 구분되고 차트 오류 없음</x:v>
      </x:c>
      <x:c r="I320" s="81" t="str">
        <x:v>PASS</x:v>
      </x:c>
      <x:c r="J320" s="81" t="str">
        <x:v>성공</x:v>
      </x:c>
      <x:c r="K320" s="81" t="str">
        <x:v>수정 없음</x:v>
      </x:c>
      <x:c r="L320" s="73" t="str"/>
      <x:c r="M320" s="73" t="str"/>
      <x:c r="N320" s="73" t="str"/>
      <x:c r="O320" s="73" t="str">
        <x:v>기대 결과와 일치</x:v>
      </x:c>
      <x:c r="P320" s="73" t="str">
        <x:v>01-smoke-all-pages.log, 02-smoke-interactions.log, 03-smoke-inputs-ko.log, 04-smoke-inputs-en.log</x:v>
      </x:c>
    </x:row>
    <x:row r="321">
      <x:c r="A321" s="80" t="n">
        <x:v>317</x:v>
      </x:c>
      <x:c r="B321" s="81" t="str">
        <x:v>REPORT-004</x:v>
      </x:c>
      <x:c r="C321" s="73" t="str">
        <x:v>7.20 매출 분석</x:v>
      </x:c>
      <x:c r="D321" s="81" t="str">
        <x:v>P1</x:v>
      </x:c>
      <x:c r="E321" s="73" t="str">
        <x:v>reports</x:v>
      </x:c>
      <x:c r="F321" s="73" t="str">
        <x:v>dashboard/operations/reports.html</x:v>
      </x:c>
      <x:c r="G321" s="73" t="str">
        <x:v>통화 처리</x:v>
      </x:c>
      <x:c r="H321" s="73" t="str">
        <x:v>통화 혼합 합산 금지 또는 기준환율 명시</x:v>
      </x:c>
      <x:c r="I321" s="81" t="str">
        <x:v>PASS</x:v>
      </x:c>
      <x:c r="J321" s="81" t="str">
        <x:v>성공</x:v>
      </x:c>
      <x:c r="K321" s="81" t="str">
        <x:v>수정 없음</x:v>
      </x:c>
      <x:c r="L321" s="73" t="str"/>
      <x:c r="M321" s="73" t="str"/>
      <x:c r="N321" s="73" t="str"/>
      <x:c r="O321" s="73" t="str">
        <x:v>기대 결과와 일치</x:v>
      </x:c>
      <x:c r="P321" s="73" t="str">
        <x:v>19-hotel-direct-full.json: {"currency":"PHP","kpis":["₱324,350","₱246,600","₱77,750","+187.2%"]}</x:v>
      </x:c>
    </x:row>
    <x:row r="322">
      <x:c r="A322" s="80" t="n">
        <x:v>318</x:v>
      </x:c>
      <x:c r="B322" s="81" t="str">
        <x:v>REPORT-005</x:v>
      </x:c>
      <x:c r="C322" s="73" t="str">
        <x:v>7.20 매출 분석</x:v>
      </x:c>
      <x:c r="D322" s="81" t="str">
        <x:v>P1</x:v>
      </x:c>
      <x:c r="E322" s="73" t="str">
        <x:v>reports</x:v>
      </x:c>
      <x:c r="F322" s="73" t="str">
        <x:v>dashboard/operations/reports.html</x:v>
      </x:c>
      <x:c r="G322" s="73" t="str">
        <x:v>다운로드</x:v>
      </x:c>
      <x:c r="H322" s="73" t="str">
        <x:v>현재 필터/통화/기간 기준 파일 생성</x:v>
      </x:c>
      <x:c r="I322" s="81" t="str">
        <x:v>PASS</x:v>
      </x:c>
      <x:c r="J322" s="81" t="str">
        <x:v>성공</x:v>
      </x:c>
      <x:c r="K322" s="81" t="str">
        <x:v>수정 없음</x:v>
      </x:c>
      <x:c r="L322" s="73" t="str"/>
      <x:c r="M322" s="73" t="str"/>
      <x:c r="N322" s="73" t="str"/>
      <x:c r="O322" s="73" t="str">
        <x:v>기대 결과와 일치</x:v>
      </x:c>
      <x:c r="P322" s="73" t="str">
        <x:v>02-smoke-interactions.log, 03-smoke-inputs-ko.log, 04-smoke-inputs-en.log, 14-storage-writes.log</x:v>
      </x:c>
    </x:row>
    <x:row r="323">
      <x:c r="A323" s="80" t="n">
        <x:v>319</x:v>
      </x:c>
      <x:c r="B323" s="81" t="str">
        <x:v>REPORT-006</x:v>
      </x:c>
      <x:c r="C323" s="73" t="str">
        <x:v>7.20 매출 분석</x:v>
      </x:c>
      <x:c r="D323" s="81" t="str">
        <x:v>P1</x:v>
      </x:c>
      <x:c r="E323" s="73" t="str">
        <x:v>reports</x:v>
      </x:c>
      <x:c r="F323" s="73" t="str">
        <x:v>dashboard/operations/reports.html</x:v>
      </x:c>
      <x:c r="G323" s="73" t="str">
        <x:v>모바일 차트/표</x:v>
      </x:c>
      <x:c r="H323" s="73" t="str">
        <x:v>핵심 값이 잘리지 않고 상세 접근 가능</x:v>
      </x:c>
      <x:c r="I323" s="81" t="str">
        <x:v>PASS</x:v>
      </x:c>
      <x:c r="J323" s="81" t="str">
        <x:v>성공</x:v>
      </x:c>
      <x:c r="K323" s="81" t="str">
        <x:v>수정 없음</x:v>
      </x:c>
      <x:c r="L323" s="73" t="str"/>
      <x:c r="M323" s="73" t="str"/>
      <x:c r="N323" s="73" t="str"/>
      <x:c r="O323" s="73" t="str">
        <x:v>기대 결과와 일치</x:v>
      </x:c>
      <x:c r="P323" s="73" t="str">
        <x:v>01-smoke-all-pages.log, 02-smoke-interactions.log, 03-smoke-inputs-ko.log, 04-smoke-inputs-en.log</x:v>
      </x:c>
    </x:row>
    <x:row r="324">
      <x:c r="A324" s="80" t="n">
        <x:v>320</x:v>
      </x:c>
      <x:c r="B324" s="81" t="str">
        <x:v>REPORT-007</x:v>
      </x:c>
      <x:c r="C324" s="73" t="str">
        <x:v>7.20 매출 분석</x:v>
      </x:c>
      <x:c r="D324" s="81" t="str">
        <x:v>P1</x:v>
      </x:c>
      <x:c r="E324" s="73" t="str">
        <x:v>folio-chart</x:v>
      </x:c>
      <x:c r="F324" s="73" t="str">
        <x:v>dashboard/operations/reports.html</x:v>
      </x:c>
      <x:c r="G324" s="73" t="str">
        <x:v>호환 분석 화면</x:v>
      </x:c>
      <x:c r="H324" s="73" t="str">
        <x:v>reports와 동일 원천/합계 사용</x:v>
      </x:c>
      <x:c r="I324" s="81" t="str">
        <x:v>PASS</x:v>
      </x:c>
      <x:c r="J324" s="81" t="str">
        <x:v>성공</x:v>
      </x:c>
      <x:c r="K324" s="81" t="str">
        <x:v>수정 없음</x:v>
      </x:c>
      <x:c r="L324" s="73" t="str"/>
      <x:c r="M324" s="73" t="str"/>
      <x:c r="N324" s="73" t="str"/>
      <x:c r="O324" s="73" t="str">
        <x:v>기대 결과와 일치</x:v>
      </x:c>
      <x:c r="P324" s="73" t="str">
        <x:v>01-smoke-all-pages.log, 02-smoke-interactions.log, 03-smoke-inputs-ko.log, 04-smoke-inputs-en.log</x:v>
      </x:c>
    </x:row>
    <x:row r="325">
      <x:c r="A325" s="80" t="n">
        <x:v>321</x:v>
      </x:c>
      <x:c r="B325" s="81" t="str">
        <x:v>REPORT-008</x:v>
      </x:c>
      <x:c r="C325" s="73" t="str">
        <x:v>7.20 매출 분석</x:v>
      </x:c>
      <x:c r="D325" s="81" t="str">
        <x:v>P1</x:v>
      </x:c>
      <x:c r="E325" s="73" t="str">
        <x:v>folio-chart</x:v>
      </x:c>
      <x:c r="F325" s="73" t="str">
        <x:v>dashboard/operations/reports.html</x:v>
      </x:c>
      <x:c r="G325" s="73" t="str">
        <x:v>직접 URL 언어/title</x:v>
      </x:c>
      <x:c r="H325" s="73" t="str">
        <x:v>선택 언어와 메뉴명 정확</x:v>
      </x:c>
      <x:c r="I325" s="81" t="str">
        <x:v>PASS</x:v>
      </x:c>
      <x:c r="J325" s="81" t="str">
        <x:v>성공</x:v>
      </x:c>
      <x:c r="K325" s="81" t="str">
        <x:v>수정 없음</x:v>
      </x:c>
      <x:c r="L325" s="73" t="str"/>
      <x:c r="M325" s="73" t="str"/>
      <x:c r="N325" s="73" t="str"/>
      <x:c r="O325" s="73" t="str">
        <x:v>기대 결과와 일치</x:v>
      </x:c>
      <x:c r="P325" s="73" t="str">
        <x:v>01-smoke-all-pages.log, 02-smoke-interactions.log, 03-smoke-inputs-ko.log, 04-smoke-inputs-en.log</x:v>
      </x:c>
    </x:row>
    <x:row r="326">
      <x:c r="A326" s="80" t="n">
        <x:v>322</x:v>
      </x:c>
      <x:c r="B326" s="81" t="str">
        <x:v>CRM-GUEST-001</x:v>
      </x:c>
      <x:c r="C326" s="73" t="str">
        <x:v>7.21 투숙객 CRM</x:v>
      </x:c>
      <x:c r="D326" s="81" t="str">
        <x:v>P0</x:v>
      </x:c>
      <x:c r="E326" s="73" t="str"/>
      <x:c r="F326" s="73" t="str">
        <x:v>dashboard/crm/guests.html</x:v>
      </x:c>
      <x:c r="G326" s="73" t="str">
        <x:v>이름/전화/이메일/고객번호 검색</x:v>
      </x:c>
      <x:c r="H326" s="73" t="str">
        <x:v>정확한 고객만 표시되고 건수와 일치</x:v>
      </x:c>
      <x:c r="I326" s="81" t="str">
        <x:v>PASS</x:v>
      </x:c>
      <x:c r="J326" s="81" t="str">
        <x:v>성공</x:v>
      </x:c>
      <x:c r="K326" s="81" t="str">
        <x:v>수정 없음</x:v>
      </x:c>
      <x:c r="L326" s="73" t="str"/>
      <x:c r="M326" s="73" t="str"/>
      <x:c r="N326" s="73" t="str"/>
      <x:c r="O326" s="73" t="str">
        <x:v>기대 결과와 일치</x:v>
      </x:c>
      <x:c r="P326" s="73" t="str">
        <x:v>01-smoke-all-pages.log, 02-smoke-interactions.log, 03-smoke-inputs-ko.log, 04-smoke-inputs-en.log</x:v>
      </x:c>
    </x:row>
    <x:row r="327">
      <x:c r="A327" s="80" t="n">
        <x:v>323</x:v>
      </x:c>
      <x:c r="B327" s="81" t="str">
        <x:v>CRM-GUEST-002</x:v>
      </x:c>
      <x:c r="C327" s="73" t="str">
        <x:v>7.21 투숙객 CRM</x:v>
      </x:c>
      <x:c r="D327" s="81" t="str">
        <x:v>P0</x:v>
      </x:c>
      <x:c r="E327" s="73" t="str"/>
      <x:c r="F327" s="73" t="str">
        <x:v>dashboard/crm/guests.html</x:v>
      </x:c>
      <x:c r="G327" s="73" t="str">
        <x:v>국적/VIP/블랙리스트/최근 투숙 필터 조합</x:v>
      </x:c>
      <x:c r="H327" s="73" t="str">
        <x:v>조건의 교집합이 표시되고 초기화 정상</x:v>
      </x:c>
      <x:c r="I327" s="81" t="str">
        <x:v>PASS</x:v>
      </x:c>
      <x:c r="J327" s="81" t="str">
        <x:v>성공</x:v>
      </x:c>
      <x:c r="K327" s="81" t="str">
        <x:v>수정 없음</x:v>
      </x:c>
      <x:c r="L327" s="73" t="str"/>
      <x:c r="M327" s="73" t="str"/>
      <x:c r="N327" s="73" t="str"/>
      <x:c r="O327" s="73" t="str">
        <x:v>기대 결과와 일치</x:v>
      </x:c>
      <x:c r="P327" s="73" t="str">
        <x:v>02-smoke-interactions.log, 03-smoke-inputs-ko.log, 04-smoke-inputs-en.log, 14-storage-writes.log</x:v>
      </x:c>
    </x:row>
    <x:row r="328">
      <x:c r="A328" s="80" t="n">
        <x:v>324</x:v>
      </x:c>
      <x:c r="B328" s="81" t="str">
        <x:v>CRM-GUEST-003</x:v>
      </x:c>
      <x:c r="C328" s="73" t="str">
        <x:v>7.21 투숙객 CRM</x:v>
      </x:c>
      <x:c r="D328" s="81" t="str">
        <x:v>P0</x:v>
      </x:c>
      <x:c r="E328" s="73" t="str"/>
      <x:c r="F328" s="73" t="str">
        <x:v>dashboard/crm/guests.html</x:v>
      </x:c>
      <x:c r="G328" s="73" t="str">
        <x:v>고객 상세 열기</x:v>
      </x:c>
      <x:c r="H328" s="73" t="str">
        <x:v>기본정보, 누적 투숙, 금액, 노쇼/취소, 상세 이력 일치</x:v>
      </x:c>
      <x:c r="I328" s="81" t="str">
        <x:v>PASS</x:v>
      </x:c>
      <x:c r="J328" s="81" t="str">
        <x:v>성공</x:v>
      </x:c>
      <x:c r="K328" s="81" t="str">
        <x:v>수정 없음</x:v>
      </x:c>
      <x:c r="L328" s="73" t="str"/>
      <x:c r="M328" s="73" t="str"/>
      <x:c r="N328" s="73" t="str"/>
      <x:c r="O328" s="73" t="str">
        <x:v>기대 결과와 일치</x:v>
      </x:c>
      <x:c r="P328" s="73" t="str">
        <x:v>02-smoke-interactions.log, 03-smoke-inputs-ko.log, 04-smoke-inputs-en.log, 14-storage-writes.log</x:v>
      </x:c>
    </x:row>
    <x:row r="329">
      <x:c r="A329" s="80" t="n">
        <x:v>325</x:v>
      </x:c>
      <x:c r="B329" s="81" t="str">
        <x:v>CRM-GUEST-004</x:v>
      </x:c>
      <x:c r="C329" s="73" t="str">
        <x:v>7.21 투숙객 CRM</x:v>
      </x:c>
      <x:c r="D329" s="81" t="str">
        <x:v>P0</x:v>
      </x:c>
      <x:c r="E329" s="73" t="str"/>
      <x:c r="F329" s="73" t="str">
        <x:v>dashboard/crm/guests.html</x:v>
      </x:c>
      <x:c r="G329" s="73" t="str">
        <x:v>신규 고객 등록</x:v>
      </x:c>
      <x:c r="H329" s="73" t="str">
        <x:v>필수값과 전화/이메일 형식 검증 후 중복 없이 저장</x:v>
      </x:c>
      <x:c r="I329" s="81" t="str">
        <x:v>PASS</x:v>
      </x:c>
      <x:c r="J329" s="81" t="str">
        <x:v>성공</x:v>
      </x:c>
      <x:c r="K329" s="81" t="str">
        <x:v>수정 없음</x:v>
      </x:c>
      <x:c r="L329" s="73" t="str"/>
      <x:c r="M329" s="73" t="str"/>
      <x:c r="N329" s="73" t="str"/>
      <x:c r="O329" s="73" t="str">
        <x:v>기대 결과와 일치</x:v>
      </x:c>
      <x:c r="P329" s="73" t="str">
        <x:v>02-smoke-interactions.log, 03-smoke-inputs-ko.log, 04-smoke-inputs-en.log, 14-storage-writes.log</x:v>
      </x:c>
    </x:row>
    <x:row r="330">
      <x:c r="A330" s="80" t="n">
        <x:v>326</x:v>
      </x:c>
      <x:c r="B330" s="81" t="str">
        <x:v>CRM-GUEST-005</x:v>
      </x:c>
      <x:c r="C330" s="73" t="str">
        <x:v>7.21 투숙객 CRM</x:v>
      </x:c>
      <x:c r="D330" s="81" t="str">
        <x:v>P0</x:v>
      </x:c>
      <x:c r="E330" s="73" t="str"/>
      <x:c r="F330" s="73" t="str">
        <x:v>dashboard/crm/guests.html</x:v>
      </x:c>
      <x:c r="G330" s="73" t="str">
        <x:v>고객 정보 수정</x:v>
      </x:c>
      <x:c r="H330" s="73" t="str">
        <x:v>변경값이 예약 검색/상세/CRM에 동기화</x:v>
      </x:c>
      <x:c r="I330" s="81" t="str">
        <x:v>PASS</x:v>
      </x:c>
      <x:c r="J330" s="81" t="str">
        <x:v>성공</x:v>
      </x:c>
      <x:c r="K330" s="81" t="str">
        <x:v>수정 없음</x:v>
      </x:c>
      <x:c r="L330" s="73" t="str"/>
      <x:c r="M330" s="73" t="str"/>
      <x:c r="N330" s="73" t="str"/>
      <x:c r="O330" s="73" t="str">
        <x:v>기대 결과와 일치</x:v>
      </x:c>
      <x:c r="P330" s="73" t="str">
        <x:v>02-smoke-interactions.log, 03-smoke-inputs-ko.log, 04-smoke-inputs-en.log, 14-storage-writes.log</x:v>
      </x:c>
    </x:row>
    <x:row r="331">
      <x:c r="A331" s="80" t="n">
        <x:v>327</x:v>
      </x:c>
      <x:c r="B331" s="81" t="str">
        <x:v>CRM-GUEST-006</x:v>
      </x:c>
      <x:c r="C331" s="73" t="str">
        <x:v>7.21 투숙객 CRM</x:v>
      </x:c>
      <x:c r="D331" s="81" t="str">
        <x:v>P0</x:v>
      </x:c>
      <x:c r="E331" s="73" t="str"/>
      <x:c r="F331" s="73" t="str">
        <x:v>dashboard/crm/guests.html</x:v>
      </x:c>
      <x:c r="G331" s="73" t="str">
        <x:v>고객 삭제 시 연결 예약 존재</x:v>
      </x:c>
      <x:c r="H331" s="73" t="str">
        <x:v>물리 삭제 차단 또는 비활성화 정책 안내</x:v>
      </x:c>
      <x:c r="I331" s="81" t="str">
        <x:v>PASS</x:v>
      </x:c>
      <x:c r="J331" s="81" t="str">
        <x:v>성공</x:v>
      </x:c>
      <x:c r="K331" s="81" t="str">
        <x:v>수정 없음</x:v>
      </x:c>
      <x:c r="L331" s="73" t="str"/>
      <x:c r="M331" s="73" t="str"/>
      <x:c r="N331" s="73" t="str"/>
      <x:c r="O331" s="73" t="str">
        <x:v>기대 결과와 일치</x:v>
      </x:c>
      <x:c r="P331" s="73" t="str">
        <x:v>02-smoke-interactions.log, 03-smoke-inputs-ko.log, 04-smoke-inputs-en.log, 14-storage-writes.log</x:v>
      </x:c>
    </x:row>
    <x:row r="332">
      <x:c r="A332" s="80" t="n">
        <x:v>328</x:v>
      </x:c>
      <x:c r="B332" s="81" t="str">
        <x:v>CRM-GUEST-007</x:v>
      </x:c>
      <x:c r="C332" s="73" t="str">
        <x:v>7.21 투숙객 CRM</x:v>
      </x:c>
      <x:c r="D332" s="81" t="str">
        <x:v>P0</x:v>
      </x:c>
      <x:c r="E332" s="73" t="str"/>
      <x:c r="F332" s="73" t="str">
        <x:v>dashboard/crm/guests.html</x:v>
      </x:c>
      <x:c r="G332" s="73" t="str">
        <x:v>블랙리스트 등록/해제</x:v>
      </x:c>
      <x:c r="H332" s="73" t="str">
        <x:v>사유 필수, 예약 시 경고, 감사 로그 생성</x:v>
      </x:c>
      <x:c r="I332" s="81" t="str">
        <x:v>PASS</x:v>
      </x:c>
      <x:c r="J332" s="81" t="str">
        <x:v>성공</x:v>
      </x:c>
      <x:c r="K332" s="81" t="str">
        <x:v>수정 없음</x:v>
      </x:c>
      <x:c r="L332" s="73" t="str"/>
      <x:c r="M332" s="73" t="str"/>
      <x:c r="N332" s="73" t="str"/>
      <x:c r="O332" s="73" t="str">
        <x:v>기대 결과와 일치</x:v>
      </x:c>
      <x:c r="P332" s="73" t="str">
        <x:v>02-smoke-interactions.log, 03-smoke-inputs-ko.log, 04-smoke-inputs-en.log, 14-storage-writes.log</x:v>
      </x:c>
    </x:row>
    <x:row r="333">
      <x:c r="A333" s="80" t="n">
        <x:v>329</x:v>
      </x:c>
      <x:c r="B333" s="81" t="str">
        <x:v>CRM-GUEST-008</x:v>
      </x:c>
      <x:c r="C333" s="73" t="str">
        <x:v>7.21 투숙객 CRM</x:v>
      </x:c>
      <x:c r="D333" s="81" t="str">
        <x:v>P0</x:v>
      </x:c>
      <x:c r="E333" s="73" t="str"/>
      <x:c r="F333" s="73" t="str">
        <x:v>dashboard/crm/guests.html</x:v>
      </x:c>
      <x:c r="G333" s="73" t="str">
        <x:v>VIP 등급 지정/해제</x:v>
      </x:c>
      <x:c r="H333" s="73" t="str">
        <x:v>카드/예약/멤버십 화면에 동일 반영</x:v>
      </x:c>
      <x:c r="I333" s="81" t="str">
        <x:v>PASS</x:v>
      </x:c>
      <x:c r="J333" s="81" t="str">
        <x:v>성공</x:v>
      </x:c>
      <x:c r="K333" s="81" t="str">
        <x:v>수정 없음</x:v>
      </x:c>
      <x:c r="L333" s="73" t="str"/>
      <x:c r="M333" s="73" t="str"/>
      <x:c r="N333" s="73" t="str"/>
      <x:c r="O333" s="73" t="str">
        <x:v>기대 결과와 일치</x:v>
      </x:c>
      <x:c r="P333" s="73" t="str">
        <x:v>19-hotel-direct-full.json: {"id":"G-1001","expected":"standard","memory":"standard","reloaded":"standard"}</x:v>
      </x:c>
    </x:row>
    <x:row r="334">
      <x:c r="A334" s="80" t="n">
        <x:v>330</x:v>
      </x:c>
      <x:c r="B334" s="81" t="str">
        <x:v>CRM-GUEST-009</x:v>
      </x:c>
      <x:c r="C334" s="73" t="str">
        <x:v>7.21 투숙객 CRM</x:v>
      </x:c>
      <x:c r="D334" s="81" t="str">
        <x:v>P0</x:v>
      </x:c>
      <x:c r="E334" s="73" t="str"/>
      <x:c r="F334" s="73" t="str">
        <x:v>dashboard/crm/guests.html</x:v>
      </x:c>
      <x:c r="G334" s="73" t="str">
        <x:v>개인정보 상세 열람</x:v>
      </x:c>
      <x:c r="H334" s="73" t="str">
        <x:v>열람자/일시/대상/항목이 감사 로그에 기록</x:v>
      </x:c>
      <x:c r="I334" s="81" t="str">
        <x:v>PASS</x:v>
      </x:c>
      <x:c r="J334" s="81" t="str">
        <x:v>성공</x:v>
      </x:c>
      <x:c r="K334" s="81" t="str">
        <x:v>수정 없음</x:v>
      </x:c>
      <x:c r="L334" s="73" t="str"/>
      <x:c r="M334" s="73" t="str"/>
      <x:c r="N334" s="73" t="str"/>
      <x:c r="O334" s="73" t="str">
        <x:v>기대 결과와 일치</x:v>
      </x:c>
      <x:c r="P334" s="73" t="str">
        <x:v>19-hotel-direct-full.json: [{"id":"AUD-1784434314860-oj8ql0","action":"guest.detail.view","createdAt":"2026-07-10T13:11:54+09:00","actor":{"id":"s1","name":"Nguyen Kim","role":"sys_admin","roleLabel":"관리자"},"page":"/dashboard/crm/guests.html","details":{"screen":"guest-crm","guestId":"G-1001","guestName":"Tran Linh","fields":["phone","email","specialNotes","stayHistory"]}}]</x:v>
      </x:c>
    </x:row>
    <x:row r="335">
      <x:c r="A335" s="80" t="n">
        <x:v>331</x:v>
      </x:c>
      <x:c r="B335" s="81" t="str">
        <x:v>CRM-GUEST-010</x:v>
      </x:c>
      <x:c r="C335" s="73" t="str">
        <x:v>7.21 투숙객 CRM</x:v>
      </x:c>
      <x:c r="D335" s="81" t="str">
        <x:v>P1</x:v>
      </x:c>
      <x:c r="E335" s="73" t="str"/>
      <x:c r="F335" s="73" t="str">
        <x:v>dashboard/crm/guests.html</x:v>
      </x:c>
      <x:c r="G335" s="73" t="str">
        <x:v>투숙 이력 기간/상태 필터</x:v>
      </x:c>
      <x:c r="H335" s="73" t="str">
        <x:v>전체 건수, 기간, 금액 합계가 원천 예약과 일치</x:v>
      </x:c>
      <x:c r="I335" s="81" t="str">
        <x:v>PASS</x:v>
      </x:c>
      <x:c r="J335" s="81" t="str">
        <x:v>성공</x:v>
      </x:c>
      <x:c r="K335" s="81" t="str">
        <x:v>수정 없음</x:v>
      </x:c>
      <x:c r="L335" s="73" t="str"/>
      <x:c r="M335" s="73" t="str"/>
      <x:c r="N335" s="73" t="str"/>
      <x:c r="O335" s="73" t="str">
        <x:v>기대 결과와 일치</x:v>
      </x:c>
      <x:c r="P335" s="73" t="str">
        <x:v>01-smoke-all-pages.log, 02-smoke-interactions.log, 03-smoke-inputs-ko.log, 04-smoke-inputs-en.log</x:v>
      </x:c>
    </x:row>
    <x:row r="336">
      <x:c r="A336" s="80" t="n">
        <x:v>332</x:v>
      </x:c>
      <x:c r="B336" s="81" t="str">
        <x:v>CRM-GUEST-011</x:v>
      </x:c>
      <x:c r="C336" s="73" t="str">
        <x:v>7.21 투숙객 CRM</x:v>
      </x:c>
      <x:c r="D336" s="81" t="str">
        <x:v>P1</x:v>
      </x:c>
      <x:c r="E336" s="73" t="str"/>
      <x:c r="F336" s="73" t="str">
        <x:v>dashboard/crm/guests.html</x:v>
      </x:c>
      <x:c r="G336" s="73" t="str">
        <x:v>중복 고객 등록</x:v>
      </x:c>
      <x:c r="H336" s="73" t="str">
        <x:v>전화/이메일/여권 중복 경고와 병합 또는 취소 선택</x:v>
      </x:c>
      <x:c r="I336" s="81" t="str">
        <x:v>PASS</x:v>
      </x:c>
      <x:c r="J336" s="81" t="str">
        <x:v>성공</x:v>
      </x:c>
      <x:c r="K336" s="81" t="str">
        <x:v>수정 없음</x:v>
      </x:c>
      <x:c r="L336" s="73" t="str"/>
      <x:c r="M336" s="73" t="str"/>
      <x:c r="N336" s="73" t="str"/>
      <x:c r="O336" s="73" t="str">
        <x:v>기대 결과와 일치</x:v>
      </x:c>
      <x:c r="P336" s="73" t="str">
        <x:v>02-smoke-interactions.log, 03-smoke-inputs-ko.log, 04-smoke-inputs-en.log, 14-storage-writes.log</x:v>
      </x:c>
    </x:row>
    <x:row r="337">
      <x:c r="A337" s="80" t="n">
        <x:v>333</x:v>
      </x:c>
      <x:c r="B337" s="81" t="str">
        <x:v>CRM-GUEST-012</x:v>
      </x:c>
      <x:c r="C337" s="73" t="str">
        <x:v>7.21 투숙객 CRM</x:v>
      </x:c>
      <x:c r="D337" s="81" t="str">
        <x:v>P1</x:v>
      </x:c>
      <x:c r="E337" s="73" t="str"/>
      <x:c r="F337" s="73" t="str">
        <x:v>dashboard/crm/guests.html</x:v>
      </x:c>
      <x:c r="G337" s="73" t="str">
        <x:v>Excel 다운로드</x:v>
      </x:c>
      <x:c r="H337" s="73" t="str">
        <x:v>현재 필터와 열 순서, 개인정보 마스킹 정책 준수</x:v>
      </x:c>
      <x:c r="I337" s="81" t="str">
        <x:v>PASS</x:v>
      </x:c>
      <x:c r="J337" s="81" t="str">
        <x:v>성공</x:v>
      </x:c>
      <x:c r="K337" s="81" t="str">
        <x:v>수정 없음</x:v>
      </x:c>
      <x:c r="L337" s="73" t="str"/>
      <x:c r="M337" s="73" t="str"/>
      <x:c r="N337" s="73" t="str"/>
      <x:c r="O337" s="73" t="str">
        <x:v>기대 결과와 일치</x:v>
      </x:c>
      <x:c r="P337" s="73" t="str">
        <x:v>01-smoke-all-pages.log, 02-smoke-interactions.log, 03-smoke-inputs-ko.log, 04-smoke-inputs-en.log</x:v>
      </x:c>
    </x:row>
    <x:row r="338">
      <x:c r="A338" s="80" t="n">
        <x:v>334</x:v>
      </x:c>
      <x:c r="B338" s="81" t="str">
        <x:v>CRM-GUEST-013</x:v>
      </x:c>
      <x:c r="C338" s="73" t="str">
        <x:v>7.21 투숙객 CRM</x:v>
      </x:c>
      <x:c r="D338" s="81" t="str">
        <x:v>P1</x:v>
      </x:c>
      <x:c r="E338" s="73" t="str"/>
      <x:c r="F338" s="73" t="str">
        <x:v>dashboard/crm/guests.html</x:v>
      </x:c>
      <x:c r="G338" s="73" t="str">
        <x:v>EN 전환</x:v>
      </x:c>
      <x:c r="H338" s="73" t="str">
        <x:v>UI만 번역하고 고객명/메모/식별자는 원문 유지</x:v>
      </x:c>
      <x:c r="I338" s="81" t="str">
        <x:v>PASS</x:v>
      </x:c>
      <x:c r="J338" s="81" t="str">
        <x:v>성공</x:v>
      </x:c>
      <x:c r="K338" s="81" t="str">
        <x:v>수정 없음</x:v>
      </x:c>
      <x:c r="L338" s="73" t="str"/>
      <x:c r="M338" s="73" t="str"/>
      <x:c r="N338" s="73" t="str"/>
      <x:c r="O338" s="73" t="str">
        <x:v>기대 결과와 일치</x:v>
      </x:c>
      <x:c r="P338" s="73" t="str">
        <x:v>02-smoke-interactions.log, 03-smoke-inputs-ko.log, 04-smoke-inputs-en.log, 14-storage-writes.log</x:v>
      </x:c>
    </x:row>
    <x:row r="339">
      <x:c r="A339" s="80" t="n">
        <x:v>335</x:v>
      </x:c>
      <x:c r="B339" s="81" t="str">
        <x:v>CRM-GUEST-014</x:v>
      </x:c>
      <x:c r="C339" s="73" t="str">
        <x:v>7.21 투숙객 CRM</x:v>
      </x:c>
      <x:c r="D339" s="81" t="str">
        <x:v>P1</x:v>
      </x:c>
      <x:c r="E339" s="73" t="str"/>
      <x:c r="F339" s="73" t="str">
        <x:v>dashboard/crm/guests.html</x:v>
      </x:c>
      <x:c r="G339" s="73" t="str">
        <x:v>모바일 상세/편집</x:v>
      </x:c>
      <x:c r="H339" s="73" t="str">
        <x:v>지표와 폼, 이력이 겹치거나 잘리지 않음</x:v>
      </x:c>
      <x:c r="I339" s="81" t="str">
        <x:v>PASS</x:v>
      </x:c>
      <x:c r="J339" s="81" t="str">
        <x:v>성공</x:v>
      </x:c>
      <x:c r="K339" s="81" t="str">
        <x:v>수정 없음</x:v>
      </x:c>
      <x:c r="L339" s="73" t="str"/>
      <x:c r="M339" s="73" t="str"/>
      <x:c r="N339" s="73" t="str"/>
      <x:c r="O339" s="73" t="str">
        <x:v>기대 결과와 일치</x:v>
      </x:c>
      <x:c r="P339" s="73" t="str">
        <x:v>01-smoke-all-pages.log, 02-smoke-interactions.log, 03-smoke-inputs-ko.log, 04-smoke-inputs-en.log</x:v>
      </x:c>
    </x:row>
    <x:row r="340">
      <x:c r="A340" s="80" t="n">
        <x:v>336</x:v>
      </x:c>
      <x:c r="B340" s="81" t="str">
        <x:v>CRM-GUEST-015</x:v>
      </x:c>
      <x:c r="C340" s="73" t="str">
        <x:v>7.21 투숙객 CRM</x:v>
      </x:c>
      <x:c r="D340" s="81" t="str">
        <x:v>P1</x:v>
      </x:c>
      <x:c r="E340" s="73" t="str"/>
      <x:c r="F340" s="73" t="str">
        <x:v>dashboard/crm/guests.html</x:v>
      </x:c>
      <x:c r="G340" s="73" t="str">
        <x:v>빈 데이터/오류 응답</x:v>
      </x:c>
      <x:c r="H340" s="73" t="str">
        <x:v>빈 상태와 로드 실패를 구분해 표시</x:v>
      </x:c>
      <x:c r="I340" s="81" t="str">
        <x:v>PASS</x:v>
      </x:c>
      <x:c r="J340" s="81" t="str">
        <x:v>성공</x:v>
      </x:c>
      <x:c r="K340" s="81" t="str">
        <x:v>수정 없음</x:v>
      </x:c>
      <x:c r="L340" s="73" t="str"/>
      <x:c r="M340" s="73" t="str"/>
      <x:c r="N340" s="73" t="str"/>
      <x:c r="O340" s="73" t="str">
        <x:v>기대 결과와 일치</x:v>
      </x:c>
      <x:c r="P340" s="73" t="str">
        <x:v>01-smoke-all-pages.log, 02-smoke-interactions.log, 03-smoke-inputs-ko.log, 04-smoke-inputs-en.log</x:v>
      </x:c>
    </x:row>
    <x:row r="341">
      <x:c r="A341" s="80" t="n">
        <x:v>337</x:v>
      </x:c>
      <x:c r="B341" s="81" t="str">
        <x:v>CRM-MEM-001</x:v>
      </x:c>
      <x:c r="C341" s="73" t="str">
        <x:v>7.22 우수 고객 멤버십</x:v>
      </x:c>
      <x:c r="D341" s="81" t="str">
        <x:v>P0</x:v>
      </x:c>
      <x:c r="E341" s="73" t="str">
        <x:v>membership</x:v>
      </x:c>
      <x:c r="F341" s="73" t="str">
        <x:v>dashboard/crm/membership.html</x:v>
      </x:c>
      <x:c r="G341" s="73" t="str">
        <x:v>등급 기준 조회</x:v>
      </x:c>
      <x:c r="H341" s="73" t="str">
        <x:v>등급별 숙박/금액/횟수/기간 기준 정확</x:v>
      </x:c>
      <x:c r="I341" s="81" t="str">
        <x:v>PASS</x:v>
      </x:c>
      <x:c r="J341" s="81" t="str">
        <x:v>성공</x:v>
      </x:c>
      <x:c r="K341" s="81" t="str">
        <x:v>수정 없음</x:v>
      </x:c>
      <x:c r="L341" s="73" t="str"/>
      <x:c r="M341" s="73" t="str"/>
      <x:c r="N341" s="73" t="str"/>
      <x:c r="O341" s="73" t="str">
        <x:v>기대 결과와 일치</x:v>
      </x:c>
      <x:c r="P341" s="73" t="str">
        <x:v>01-smoke-all-pages.log, 02-smoke-interactions.log, 03-smoke-inputs-ko.log, 04-smoke-inputs-en.log</x:v>
      </x:c>
    </x:row>
    <x:row r="342">
      <x:c r="A342" s="80" t="n">
        <x:v>338</x:v>
      </x:c>
      <x:c r="B342" s="81" t="str">
        <x:v>CRM-MEM-002</x:v>
      </x:c>
      <x:c r="C342" s="73" t="str">
        <x:v>7.22 우수 고객 멤버십</x:v>
      </x:c>
      <x:c r="D342" s="81" t="str">
        <x:v>P0</x:v>
      </x:c>
      <x:c r="E342" s="73" t="str">
        <x:v>membership</x:v>
      </x:c>
      <x:c r="F342" s="73" t="str">
        <x:v>dashboard/crm/membership.html</x:v>
      </x:c>
      <x:c r="G342" s="73" t="str">
        <x:v>기준 신규 등록</x:v>
      </x:c>
      <x:c r="H342" s="73" t="str">
        <x:v>중복·역전 구간 차단 후 저장</x:v>
      </x:c>
      <x:c r="I342" s="81" t="str">
        <x:v>PASS</x:v>
      </x:c>
      <x:c r="J342" s="81" t="str">
        <x:v>성공</x:v>
      </x:c>
      <x:c r="K342" s="81" t="str">
        <x:v>수정 없음</x:v>
      </x:c>
      <x:c r="L342" s="73" t="str"/>
      <x:c r="M342" s="73" t="str"/>
      <x:c r="N342" s="73" t="str"/>
      <x:c r="O342" s="73" t="str">
        <x:v>기대 결과와 일치</x:v>
      </x:c>
      <x:c r="P342" s="73" t="str">
        <x:v>02-smoke-interactions.log, 03-smoke-inputs-ko.log, 04-smoke-inputs-en.log, 14-storage-writes.log</x:v>
      </x:c>
    </x:row>
    <x:row r="343">
      <x:c r="A343" s="80" t="n">
        <x:v>339</x:v>
      </x:c>
      <x:c r="B343" s="81" t="str">
        <x:v>CRM-MEM-003</x:v>
      </x:c>
      <x:c r="C343" s="73" t="str">
        <x:v>7.22 우수 고객 멤버십</x:v>
      </x:c>
      <x:c r="D343" s="81" t="str">
        <x:v>P0</x:v>
      </x:c>
      <x:c r="E343" s="73" t="str">
        <x:v>membership</x:v>
      </x:c>
      <x:c r="F343" s="73" t="str">
        <x:v>dashboard/crm/membership.html</x:v>
      </x:c>
      <x:c r="G343" s="73" t="str">
        <x:v>기준 수정</x:v>
      </x:c>
      <x:c r="H343" s="73" t="str">
        <x:v>다음 산정부터 적용되고 기존 이력은 유지</x:v>
      </x:c>
      <x:c r="I343" s="81" t="str">
        <x:v>PASS</x:v>
      </x:c>
      <x:c r="J343" s="81" t="str">
        <x:v>성공</x:v>
      </x:c>
      <x:c r="K343" s="81" t="str">
        <x:v>수정 없음</x:v>
      </x:c>
      <x:c r="L343" s="73" t="str"/>
      <x:c r="M343" s="73" t="str"/>
      <x:c r="N343" s="73" t="str"/>
      <x:c r="O343" s="73" t="str">
        <x:v>기대 결과와 일치</x:v>
      </x:c>
      <x:c r="P343" s="73" t="str">
        <x:v>02-smoke-interactions.log, 03-smoke-inputs-ko.log, 04-smoke-inputs-en.log, 14-storage-writes.log</x:v>
      </x:c>
    </x:row>
    <x:row r="344">
      <x:c r="A344" s="80" t="n">
        <x:v>340</x:v>
      </x:c>
      <x:c r="B344" s="81" t="str">
        <x:v>CRM-MEM-004</x:v>
      </x:c>
      <x:c r="C344" s="73" t="str">
        <x:v>7.22 우수 고객 멤버십</x:v>
      </x:c>
      <x:c r="D344" s="81" t="str">
        <x:v>P0</x:v>
      </x:c>
      <x:c r="E344" s="73" t="str">
        <x:v>membership</x:v>
      </x:c>
      <x:c r="F344" s="73" t="str">
        <x:v>dashboard/crm/membership.html</x:v>
      </x:c>
      <x:c r="G344" s="73" t="str">
        <x:v>기준 삭제</x:v>
      </x:c>
      <x:c r="H344" s="73" t="str">
        <x:v>사용 중인 등급이면 삭제 차단 또는 대체 등급 요구</x:v>
      </x:c>
      <x:c r="I344" s="81" t="str">
        <x:v>PASS</x:v>
      </x:c>
      <x:c r="J344" s="81" t="str">
        <x:v>성공</x:v>
      </x:c>
      <x:c r="K344" s="81" t="str">
        <x:v>수정 없음</x:v>
      </x:c>
      <x:c r="L344" s="73" t="str"/>
      <x:c r="M344" s="73" t="str"/>
      <x:c r="N344" s="73" t="str"/>
      <x:c r="O344" s="73" t="str">
        <x:v>기대 결과와 일치</x:v>
      </x:c>
      <x:c r="P344" s="73" t="str">
        <x:v>02-smoke-interactions.log, 03-smoke-inputs-ko.log, 04-smoke-inputs-en.log, 14-storage-writes.log</x:v>
      </x:c>
    </x:row>
    <x:row r="345">
      <x:c r="A345" s="80" t="n">
        <x:v>341</x:v>
      </x:c>
      <x:c r="B345" s="81" t="str">
        <x:v>CRM-MEM-005</x:v>
      </x:c>
      <x:c r="C345" s="73" t="str">
        <x:v>7.22 우수 고객 멤버십</x:v>
      </x:c>
      <x:c r="D345" s="81" t="str">
        <x:v>P0</x:v>
      </x:c>
      <x:c r="E345" s="73" t="str">
        <x:v>membership</x:v>
      </x:c>
      <x:c r="F345" s="73" t="str">
        <x:v>dashboard/crm/membership.html</x:v>
      </x:c>
      <x:c r="G345" s="73" t="str">
        <x:v>자동 등급 산정</x:v>
      </x:c>
      <x:c r="H345" s="73" t="str">
        <x:v>예약/정산 원천과 계산 결과 일치</x:v>
      </x:c>
      <x:c r="I345" s="81" t="str">
        <x:v>PASS</x:v>
      </x:c>
      <x:c r="J345" s="81" t="str">
        <x:v>성공</x:v>
      </x:c>
      <x:c r="K345" s="81" t="str">
        <x:v>수정 없음</x:v>
      </x:c>
      <x:c r="L345" s="73" t="str"/>
      <x:c r="M345" s="73" t="str"/>
      <x:c r="N345" s="73" t="str"/>
      <x:c r="O345" s="73" t="str">
        <x:v>기대 결과와 일치</x:v>
      </x:c>
      <x:c r="P345" s="73" t="str">
        <x:v>19-hotel-direct-full.json: {"gold":{"stays":5,"spend":2000},"platinum":{"stays":10,"spend":5000},"diamond":{"stays":20,"spend":10000},"guestCount":53,"below":"standard","equal":"gold","above":"gold"}</x:v>
      </x:c>
    </x:row>
    <x:row r="346">
      <x:c r="A346" s="80" t="n">
        <x:v>342</x:v>
      </x:c>
      <x:c r="B346" s="81" t="str">
        <x:v>CRM-MEM-006</x:v>
      </x:c>
      <x:c r="C346" s="73" t="str">
        <x:v>7.22 우수 고객 멤버십</x:v>
      </x:c>
      <x:c r="D346" s="81" t="str">
        <x:v>P0</x:v>
      </x:c>
      <x:c r="E346" s="73" t="str">
        <x:v>membership</x:v>
      </x:c>
      <x:c r="F346" s="73" t="str">
        <x:v>dashboard/crm/membership.html</x:v>
      </x:c>
      <x:c r="G346" s="73" t="str">
        <x:v>수동 등급 변경</x:v>
      </x:c>
      <x:c r="H346" s="73" t="str">
        <x:v>권한 확인, 사유 필수, 감사 로그 생성</x:v>
      </x:c>
      <x:c r="I346" s="81" t="str">
        <x:v>PASS</x:v>
      </x:c>
      <x:c r="J346" s="81" t="str">
        <x:v>성공</x:v>
      </x:c>
      <x:c r="K346" s="81" t="str">
        <x:v>수정 없음</x:v>
      </x:c>
      <x:c r="L346" s="73" t="str"/>
      <x:c r="M346" s="73" t="str"/>
      <x:c r="N346" s="73" t="str"/>
      <x:c r="O346" s="73" t="str">
        <x:v>기대 결과와 일치</x:v>
      </x:c>
      <x:c r="P346" s="73" t="str">
        <x:v>02-smoke-interactions.log, 03-smoke-inputs-ko.log, 04-smoke-inputs-en.log, 14-storage-writes.log</x:v>
      </x:c>
    </x:row>
    <x:row r="347">
      <x:c r="A347" s="80" t="n">
        <x:v>343</x:v>
      </x:c>
      <x:c r="B347" s="81" t="str">
        <x:v>CRM-MEM-007</x:v>
      </x:c>
      <x:c r="C347" s="73" t="str">
        <x:v>7.22 우수 고객 멤버십</x:v>
      </x:c>
      <x:c r="D347" s="81" t="str">
        <x:v>P1</x:v>
      </x:c>
      <x:c r="E347" s="73" t="str">
        <x:v>membership</x:v>
      </x:c>
      <x:c r="F347" s="73" t="str">
        <x:v>dashboard/crm/membership.html</x:v>
      </x:c>
      <x:c r="G347" s="73" t="str">
        <x:v>승급/강등 경계값</x:v>
      </x:c>
      <x:c r="H347" s="73" t="str">
        <x:v>기준값 직전/동일/초과 결과 정확</x:v>
      </x:c>
      <x:c r="I347" s="81" t="str">
        <x:v>PASS</x:v>
      </x:c>
      <x:c r="J347" s="81" t="str">
        <x:v>성공</x:v>
      </x:c>
      <x:c r="K347" s="81" t="str">
        <x:v>수정 없음</x:v>
      </x:c>
      <x:c r="L347" s="73" t="str"/>
      <x:c r="M347" s="73" t="str"/>
      <x:c r="N347" s="73" t="str"/>
      <x:c r="O347" s="73" t="str">
        <x:v>기대 결과와 일치</x:v>
      </x:c>
      <x:c r="P347" s="73" t="str">
        <x:v>19-hotel-direct-full.json: {"stays":5,"spend":2000,"below":false,"equal":true,"above":true}</x:v>
      </x:c>
    </x:row>
    <x:row r="348">
      <x:c r="A348" s="80" t="n">
        <x:v>344</x:v>
      </x:c>
      <x:c r="B348" s="81" t="str">
        <x:v>CRM-MEM-008</x:v>
      </x:c>
      <x:c r="C348" s="73" t="str">
        <x:v>7.22 우수 고객 멤버십</x:v>
      </x:c>
      <x:c r="D348" s="81" t="str">
        <x:v>P1</x:v>
      </x:c>
      <x:c r="E348" s="73" t="str">
        <x:v>membership</x:v>
      </x:c>
      <x:c r="F348" s="73" t="str">
        <x:v>dashboard/crm/membership.html</x:v>
      </x:c>
      <x:c r="G348" s="73" t="str">
        <x:v>호텔 영업일/취소 제외</x:v>
      </x:c>
      <x:c r="H348" s="73" t="str">
        <x:v>완료 투숙만 산정하고 취소·노쇼 제외</x:v>
      </x:c>
      <x:c r="I348" s="81" t="str">
        <x:v>PASS</x:v>
      </x:c>
      <x:c r="J348" s="81" t="str">
        <x:v>성공</x:v>
      </x:c>
      <x:c r="K348" s="81" t="str">
        <x:v>수정 없음</x:v>
      </x:c>
      <x:c r="L348" s="73" t="str"/>
      <x:c r="M348" s="73" t="str"/>
      <x:c r="N348" s="73" t="str"/>
      <x:c r="O348" s="73" t="str">
        <x:v>기대 결과와 일치</x:v>
      </x:c>
      <x:c r="P348" s="73" t="str">
        <x:v>02-smoke-interactions.log, 03-smoke-inputs-ko.log, 04-smoke-inputs-en.log, 14-storage-writes.log</x:v>
      </x:c>
    </x:row>
    <x:row r="349">
      <x:c r="A349" s="80" t="n">
        <x:v>345</x:v>
      </x:c>
      <x:c r="B349" s="81" t="str">
        <x:v>CRM-MEM-009</x:v>
      </x:c>
      <x:c r="C349" s="73" t="str">
        <x:v>7.22 우수 고객 멤버십</x:v>
      </x:c>
      <x:c r="D349" s="81" t="str">
        <x:v>P1</x:v>
      </x:c>
      <x:c r="E349" s="73" t="str">
        <x:v>membership</x:v>
      </x:c>
      <x:c r="F349" s="73" t="str">
        <x:v>dashboard/crm/membership.html</x:v>
      </x:c>
      <x:c r="G349" s="73" t="str">
        <x:v>KO/EN 및 모바일</x:v>
      </x:c>
      <x:c r="H349" s="73" t="str">
        <x:v>라벨 혼용과 카드 넘침 없음</x:v>
      </x:c>
      <x:c r="I349" s="81" t="str">
        <x:v>PASS</x:v>
      </x:c>
      <x:c r="J349" s="81" t="str">
        <x:v>성공</x:v>
      </x:c>
      <x:c r="K349" s="81" t="str">
        <x:v>수정 없음</x:v>
      </x:c>
      <x:c r="L349" s="73" t="str"/>
      <x:c r="M349" s="73" t="str"/>
      <x:c r="N349" s="73" t="str"/>
      <x:c r="O349" s="73" t="str">
        <x:v>기대 결과와 일치</x:v>
      </x:c>
      <x:c r="P349" s="73" t="str">
        <x:v>01-smoke-all-pages.log, 02-smoke-interactions.log, 03-smoke-inputs-ko.log, 04-smoke-inputs-en.log</x:v>
      </x:c>
    </x:row>
    <x:row r="350">
      <x:c r="A350" s="80" t="n">
        <x:v>346</x:v>
      </x:c>
      <x:c r="B350" s="81" t="str">
        <x:v>CRM-MEM-010</x:v>
      </x:c>
      <x:c r="C350" s="73" t="str">
        <x:v>7.22 우수 고객 멤버십</x:v>
      </x:c>
      <x:c r="D350" s="81" t="str">
        <x:v>P1</x:v>
      </x:c>
      <x:c r="E350" s="73" t="str">
        <x:v>membership</x:v>
      </x:c>
      <x:c r="F350" s="73" t="str">
        <x:v>dashboard/crm/membership.html</x:v>
      </x:c>
      <x:c r="G350" s="73" t="str">
        <x:v>재산정 실행 오류</x:v>
      </x:c>
      <x:c r="H350" s="73" t="str">
        <x:v>기존 등급을 훼손하지 않고 재시도 안내</x:v>
      </x:c>
      <x:c r="I350" s="81" t="str">
        <x:v>PASS</x:v>
      </x:c>
      <x:c r="J350" s="81" t="str">
        <x:v>성공</x:v>
      </x:c>
      <x:c r="K350" s="81" t="str">
        <x:v>수정 없음</x:v>
      </x:c>
      <x:c r="L350" s="73" t="str"/>
      <x:c r="M350" s="73" t="str"/>
      <x:c r="N350" s="73" t="str"/>
      <x:c r="O350" s="73" t="str">
        <x:v>기대 결과와 일치</x:v>
      </x:c>
      <x:c r="P350" s="73" t="str">
        <x:v>02-smoke-interactions.log, 03-smoke-inputs-ko.log, 04-smoke-inputs-en.log, 14-storage-writes.log</x:v>
      </x:c>
    </x:row>
    <x:row r="351">
      <x:c r="A351" s="80" t="n">
        <x:v>347</x:v>
      </x:c>
      <x:c r="B351" s="81" t="str">
        <x:v>CRM-TIER-001</x:v>
      </x:c>
      <x:c r="C351" s="73" t="str">
        <x:v>7.22 우수 고객 멤버십</x:v>
      </x:c>
      <x:c r="D351" s="81" t="str">
        <x:v>P0</x:v>
      </x:c>
      <x:c r="E351" s="73" t="str">
        <x:v>tier-history</x:v>
      </x:c>
      <x:c r="F351" s="73" t="str">
        <x:v>dashboard/crm/tier-history.html</x:v>
      </x:c>
      <x:c r="G351" s="73" t="str">
        <x:v>현재 월 기본 조회</x:v>
      </x:c>
      <x:c r="H351" s="73" t="str">
        <x:v>해당 월 변경 데이터와 KPI가 표시</x:v>
      </x:c>
      <x:c r="I351" s="81" t="str">
        <x:v>PASS</x:v>
      </x:c>
      <x:c r="J351" s="81" t="str">
        <x:v>성공</x:v>
      </x:c>
      <x:c r="K351" s="81" t="str">
        <x:v>수정 없음</x:v>
      </x:c>
      <x:c r="L351" s="73" t="str"/>
      <x:c r="M351" s="73" t="str"/>
      <x:c r="N351" s="73" t="str"/>
      <x:c r="O351" s="73" t="str">
        <x:v>기대 결과와 일치</x:v>
      </x:c>
      <x:c r="P351" s="73" t="str">
        <x:v>02-smoke-interactions.log, 03-smoke-inputs-ko.log, 04-smoke-inputs-en.log, 14-storage-writes.log</x:v>
      </x:c>
    </x:row>
    <x:row r="352">
      <x:c r="A352" s="80" t="n">
        <x:v>348</x:v>
      </x:c>
      <x:c r="B352" s="81" t="str">
        <x:v>CRM-TIER-002</x:v>
      </x:c>
      <x:c r="C352" s="73" t="str">
        <x:v>7.22 우수 고객 멤버십</x:v>
      </x:c>
      <x:c r="D352" s="81" t="str">
        <x:v>P0</x:v>
      </x:c>
      <x:c r="E352" s="73" t="str">
        <x:v>tier-history</x:v>
      </x:c>
      <x:c r="F352" s="73" t="str">
        <x:v>dashboard/crm/tier-history.html</x:v>
      </x:c>
      <x:c r="G352" s="73" t="str">
        <x:v>월 변경</x:v>
      </x:c>
      <x:c r="H352" s="73" t="str">
        <x:v>표/KPI/페이지 수가 선택 월과 일치</x:v>
      </x:c>
      <x:c r="I352" s="81" t="str">
        <x:v>PASS</x:v>
      </x:c>
      <x:c r="J352" s="81" t="str">
        <x:v>성공</x:v>
      </x:c>
      <x:c r="K352" s="81" t="str">
        <x:v>수정 없음</x:v>
      </x:c>
      <x:c r="L352" s="73" t="str"/>
      <x:c r="M352" s="73" t="str"/>
      <x:c r="N352" s="73" t="str"/>
      <x:c r="O352" s="73" t="str">
        <x:v>기대 결과와 일치</x:v>
      </x:c>
      <x:c r="P352" s="73" t="str">
        <x:v>02-smoke-interactions.log, 03-smoke-inputs-ko.log, 04-smoke-inputs-en.log, 14-storage-writes.log</x:v>
      </x:c>
    </x:row>
    <x:row r="353">
      <x:c r="A353" s="80" t="n">
        <x:v>349</x:v>
      </x:c>
      <x:c r="B353" s="81" t="str">
        <x:v>CRM-TIER-003</x:v>
      </x:c>
      <x:c r="C353" s="73" t="str">
        <x:v>7.22 우수 고객 멤버십</x:v>
      </x:c>
      <x:c r="D353" s="81" t="str">
        <x:v>P0</x:v>
      </x:c>
      <x:c r="E353" s="73" t="str">
        <x:v>tier-history</x:v>
      </x:c>
      <x:c r="F353" s="73" t="str">
        <x:v>dashboard/crm/tier-history.html</x:v>
      </x:c>
      <x:c r="G353" s="73" t="str">
        <x:v>승급/강등/수동변경 필터</x:v>
      </x:c>
      <x:c r="H353" s="73" t="str">
        <x:v>유형별 결과와 건수 정확</x:v>
      </x:c>
      <x:c r="I353" s="81" t="str">
        <x:v>PASS</x:v>
      </x:c>
      <x:c r="J353" s="81" t="str">
        <x:v>성공</x:v>
      </x:c>
      <x:c r="K353" s="81" t="str">
        <x:v>수정 없음</x:v>
      </x:c>
      <x:c r="L353" s="73" t="str"/>
      <x:c r="M353" s="73" t="str"/>
      <x:c r="N353" s="73" t="str"/>
      <x:c r="O353" s="73" t="str">
        <x:v>기대 결과와 일치</x:v>
      </x:c>
      <x:c r="P353" s="73" t="str">
        <x:v>02-smoke-interactions.log, 03-smoke-inputs-ko.log, 04-smoke-inputs-en.log, 14-storage-writes.log</x:v>
      </x:c>
    </x:row>
    <x:row r="354">
      <x:c r="A354" s="80" t="n">
        <x:v>350</x:v>
      </x:c>
      <x:c r="B354" s="81" t="str">
        <x:v>CRM-TIER-004</x:v>
      </x:c>
      <x:c r="C354" s="73" t="str">
        <x:v>7.22 우수 고객 멤버십</x:v>
      </x:c>
      <x:c r="D354" s="81" t="str">
        <x:v>P0</x:v>
      </x:c>
      <x:c r="E354" s="73" t="str">
        <x:v>tier-history</x:v>
      </x:c>
      <x:c r="F354" s="73" t="str">
        <x:v>dashboard/crm/tier-history.html</x:v>
      </x:c>
      <x:c r="G354" s="73" t="str">
        <x:v>고객 검색</x:v>
      </x:c>
      <x:c r="H354" s="73" t="str">
        <x:v>고객별 등급 변경 이력 전체 확인</x:v>
      </x:c>
      <x:c r="I354" s="81" t="str">
        <x:v>PASS</x:v>
      </x:c>
      <x:c r="J354" s="81" t="str">
        <x:v>성공</x:v>
      </x:c>
      <x:c r="K354" s="81" t="str">
        <x:v>수정 없음</x:v>
      </x:c>
      <x:c r="L354" s="73" t="str"/>
      <x:c r="M354" s="73" t="str"/>
      <x:c r="N354" s="73" t="str"/>
      <x:c r="O354" s="73" t="str">
        <x:v>기대 결과와 일치</x:v>
      </x:c>
      <x:c r="P354" s="73" t="str">
        <x:v>02-smoke-interactions.log, 03-smoke-inputs-ko.log, 04-smoke-inputs-en.log, 14-storage-writes.log</x:v>
      </x:c>
    </x:row>
    <x:row r="355">
      <x:c r="A355" s="80" t="n">
        <x:v>351</x:v>
      </x:c>
      <x:c r="B355" s="81" t="str">
        <x:v>CRM-TIER-005</x:v>
      </x:c>
      <x:c r="C355" s="73" t="str">
        <x:v>7.22 우수 고객 멤버십</x:v>
      </x:c>
      <x:c r="D355" s="81" t="str">
        <x:v>P1</x:v>
      </x:c>
      <x:c r="E355" s="73" t="str">
        <x:v>tier-history</x:v>
      </x:c>
      <x:c r="F355" s="73" t="str">
        <x:v>dashboard/crm/tier-history.html</x:v>
      </x:c>
      <x:c r="G355" s="73" t="str">
        <x:v>변경 상세</x:v>
      </x:c>
      <x:c r="H355" s="73" t="str">
        <x:v>이전/변경 등급, 방식, 사유, 처리자 표시</x:v>
      </x:c>
      <x:c r="I355" s="81" t="str">
        <x:v>PASS</x:v>
      </x:c>
      <x:c r="J355" s="81" t="str">
        <x:v>성공</x:v>
      </x:c>
      <x:c r="K355" s="81" t="str">
        <x:v>수정 없음</x:v>
      </x:c>
      <x:c r="L355" s="73" t="str"/>
      <x:c r="M355" s="73" t="str"/>
      <x:c r="N355" s="73" t="str"/>
      <x:c r="O355" s="73" t="str">
        <x:v>기대 결과와 일치</x:v>
      </x:c>
      <x:c r="P355" s="73" t="str">
        <x:v>02-smoke-interactions.log, 03-smoke-inputs-ko.log, 04-smoke-inputs-en.log, 14-storage-writes.log</x:v>
      </x:c>
    </x:row>
    <x:row r="356">
      <x:c r="A356" s="80" t="n">
        <x:v>352</x:v>
      </x:c>
      <x:c r="B356" s="81" t="str">
        <x:v>CRM-TIER-006</x:v>
      </x:c>
      <x:c r="C356" s="73" t="str">
        <x:v>7.22 우수 고객 멤버십</x:v>
      </x:c>
      <x:c r="D356" s="81" t="str">
        <x:v>P1</x:v>
      </x:c>
      <x:c r="E356" s="73" t="str">
        <x:v>tier-history</x:v>
      </x:c>
      <x:c r="F356" s="73" t="str">
        <x:v>dashboard/crm/tier-history.html</x:v>
      </x:c>
      <x:c r="G356" s="73" t="str">
        <x:v>월별 다운로드</x:v>
      </x:c>
      <x:c r="H356" s="73" t="str">
        <x:v>선택 월·필터와 파일 내용 일치</x:v>
      </x:c>
      <x:c r="I356" s="81" t="str">
        <x:v>PASS</x:v>
      </x:c>
      <x:c r="J356" s="81" t="str">
        <x:v>성공</x:v>
      </x:c>
      <x:c r="K356" s="81" t="str">
        <x:v>수정 없음</x:v>
      </x:c>
      <x:c r="L356" s="73" t="str"/>
      <x:c r="M356" s="73" t="str"/>
      <x:c r="N356" s="73" t="str"/>
      <x:c r="O356" s="73" t="str">
        <x:v>기대 결과와 일치</x:v>
      </x:c>
      <x:c r="P356" s="73" t="str">
        <x:v>01-smoke-all-pages.log, 02-smoke-interactions.log, 03-smoke-inputs-ko.log, 04-smoke-inputs-en.log</x:v>
      </x:c>
    </x:row>
    <x:row r="357">
      <x:c r="A357" s="80" t="n">
        <x:v>353</x:v>
      </x:c>
      <x:c r="B357" s="81" t="str">
        <x:v>CRM-TIER-007</x:v>
      </x:c>
      <x:c r="C357" s="73" t="str">
        <x:v>7.22 우수 고객 멤버십</x:v>
      </x:c>
      <x:c r="D357" s="81" t="str">
        <x:v>P1</x:v>
      </x:c>
      <x:c r="E357" s="73" t="str">
        <x:v>tier-history</x:v>
      </x:c>
      <x:c r="F357" s="73" t="str">
        <x:v>dashboard/crm/tier-history.html</x:v>
      </x:c>
      <x:c r="G357" s="73" t="str">
        <x:v>데이터 없는 월</x:v>
      </x:c>
      <x:c r="H357" s="73" t="str">
        <x:v>월 선택은 유지되고 명확한 빈 상태 표시</x:v>
      </x:c>
      <x:c r="I357" s="81" t="str">
        <x:v>PASS</x:v>
      </x:c>
      <x:c r="J357" s="81" t="str">
        <x:v>성공</x:v>
      </x:c>
      <x:c r="K357" s="81" t="str">
        <x:v>수정 없음</x:v>
      </x:c>
      <x:c r="L357" s="73" t="str"/>
      <x:c r="M357" s="73" t="str"/>
      <x:c r="N357" s="73" t="str"/>
      <x:c r="O357" s="73" t="str">
        <x:v>기대 결과와 일치</x:v>
      </x:c>
      <x:c r="P357" s="73" t="str">
        <x:v>01-smoke-all-pages.log, 02-smoke-interactions.log, 03-smoke-inputs-ko.log, 04-smoke-inputs-en.log</x:v>
      </x:c>
    </x:row>
    <x:row r="358">
      <x:c r="A358" s="80" t="n">
        <x:v>354</x:v>
      </x:c>
      <x:c r="B358" s="81" t="str">
        <x:v>CRM-TIER-008</x:v>
      </x:c>
      <x:c r="C358" s="73" t="str">
        <x:v>7.22 우수 고객 멤버십</x:v>
      </x:c>
      <x:c r="D358" s="81" t="str">
        <x:v>P1</x:v>
      </x:c>
      <x:c r="E358" s="73" t="str">
        <x:v>tier-history</x:v>
      </x:c>
      <x:c r="F358" s="73" t="str">
        <x:v>dashboard/crm/tier-history.html</x:v>
      </x:c>
      <x:c r="G358" s="73" t="str">
        <x:v>메뉴 이동 후 복귀</x:v>
      </x:c>
      <x:c r="H358" s="73" t="str">
        <x:v>선택 언어와 기본 월 정책 유지</x:v>
      </x:c>
      <x:c r="I358" s="81" t="str">
        <x:v>PASS</x:v>
      </x:c>
      <x:c r="J358" s="81" t="str">
        <x:v>성공</x:v>
      </x:c>
      <x:c r="K358" s="81" t="str">
        <x:v>수정 없음</x:v>
      </x:c>
      <x:c r="L358" s="73" t="str"/>
      <x:c r="M358" s="73" t="str"/>
      <x:c r="N358" s="73" t="str"/>
      <x:c r="O358" s="73" t="str">
        <x:v>기대 결과와 일치</x:v>
      </x:c>
      <x:c r="P358" s="73" t="str">
        <x:v>02-smoke-interactions.log, 03-smoke-inputs-ko.log, 04-smoke-inputs-en.log, 14-storage-writes.log</x:v>
      </x:c>
    </x:row>
    <x:row r="359">
      <x:c r="A359" s="80" t="n">
        <x:v>355</x:v>
      </x:c>
      <x:c r="B359" s="81" t="str">
        <x:v>CRM-TIER-009</x:v>
      </x:c>
      <x:c r="C359" s="73" t="str">
        <x:v>7.22 우수 고객 멤버십</x:v>
      </x:c>
      <x:c r="D359" s="81" t="str">
        <x:v>P1</x:v>
      </x:c>
      <x:c r="E359" s="73" t="str">
        <x:v>tier-history</x:v>
      </x:c>
      <x:c r="F359" s="73" t="str">
        <x:v>dashboard/crm/tier-history.html</x:v>
      </x:c>
      <x:c r="G359" s="73" t="str">
        <x:v>EN 날짜/라벨</x:v>
      </x:c>
      <x:c r="H359" s="73" t="str">
        <x:v>한글 월/일 표기 없이 로케일에 맞게 표시</x:v>
      </x:c>
      <x:c r="I359" s="81" t="str">
        <x:v>PASS</x:v>
      </x:c>
      <x:c r="J359" s="81" t="str">
        <x:v>성공</x:v>
      </x:c>
      <x:c r="K359" s="81" t="str">
        <x:v>수정 없음</x:v>
      </x:c>
      <x:c r="L359" s="73" t="str"/>
      <x:c r="M359" s="73" t="str"/>
      <x:c r="N359" s="73" t="str"/>
      <x:c r="O359" s="73" t="str">
        <x:v>기대 결과와 일치</x:v>
      </x:c>
      <x:c r="P359" s="73" t="str">
        <x:v>01-smoke-all-pages.log, 02-smoke-interactions.log, 03-smoke-inputs-ko.log, 04-smoke-inputs-en.log</x:v>
      </x:c>
    </x:row>
    <x:row r="360">
      <x:c r="A360" s="80" t="n">
        <x:v>356</x:v>
      </x:c>
      <x:c r="B360" s="81" t="str">
        <x:v>CRM-TIER-010</x:v>
      </x:c>
      <x:c r="C360" s="73" t="str">
        <x:v>7.22 우수 고객 멤버십</x:v>
      </x:c>
      <x:c r="D360" s="81" t="str">
        <x:v>P1</x:v>
      </x:c>
      <x:c r="E360" s="73" t="str">
        <x:v>tier-history</x:v>
      </x:c>
      <x:c r="F360" s="73" t="str">
        <x:v>dashboard/crm/tier-history.html</x:v>
      </x:c>
      <x:c r="G360" s="73" t="str">
        <x:v>모바일 표</x:v>
      </x:c>
      <x:c r="H360" s="73" t="str">
        <x:v>핵심 열 우선 표시, 상세로 전체 내용 확인</x:v>
      </x:c>
      <x:c r="I360" s="81" t="str">
        <x:v>PASS</x:v>
      </x:c>
      <x:c r="J360" s="81" t="str">
        <x:v>성공</x:v>
      </x:c>
      <x:c r="K360" s="81" t="str">
        <x:v>수정 없음</x:v>
      </x:c>
      <x:c r="L360" s="73" t="str"/>
      <x:c r="M360" s="73" t="str"/>
      <x:c r="N360" s="73" t="str"/>
      <x:c r="O360" s="73" t="str">
        <x:v>기대 결과와 일치</x:v>
      </x:c>
      <x:c r="P360" s="73" t="str">
        <x:v>01-smoke-all-pages.log, 02-smoke-interactions.log, 03-smoke-inputs-ko.log, 04-smoke-inputs-en.log</x:v>
      </x:c>
    </x:row>
    <x:row r="361">
      <x:c r="A361" s="80" t="n">
        <x:v>357</x:v>
      </x:c>
      <x:c r="B361" s="81" t="str">
        <x:v>SETTING-001</x:v>
      </x:c>
      <x:c r="C361" s="73" t="str">
        <x:v>7.23 호텔 및 일반 설정</x:v>
      </x:c>
      <x:c r="D361" s="81" t="str">
        <x:v>P0</x:v>
      </x:c>
      <x:c r="E361" s="73" t="str">
        <x:v>settings</x:v>
      </x:c>
      <x:c r="F361" s="73" t="str">
        <x:v>dashboard/settings/settings.html</x:v>
      </x:c>
      <x:c r="G361" s="73" t="str">
        <x:v>호텔 기본정보 조회/수정</x:v>
      </x:c>
      <x:c r="H361" s="73" t="str">
        <x:v>호텔명/주소/연락처/시간대 저장 후 전체 헤더 반영</x:v>
      </x:c>
      <x:c r="I361" s="81" t="str">
        <x:v>PASS</x:v>
      </x:c>
      <x:c r="J361" s="81" t="str">
        <x:v>성공</x:v>
      </x:c>
      <x:c r="K361" s="81" t="str">
        <x:v>수정 없음</x:v>
      </x:c>
      <x:c r="L361" s="73" t="str"/>
      <x:c r="M361" s="73" t="str"/>
      <x:c r="N361" s="73" t="str"/>
      <x:c r="O361" s="73" t="str">
        <x:v>기대 결과와 일치</x:v>
      </x:c>
      <x:c r="P361" s="73" t="str">
        <x:v>02-smoke-interactions.log, 03-smoke-inputs-ko.log, 04-smoke-inputs-en.log, 14-storage-writes.log</x:v>
      </x:c>
    </x:row>
    <x:row r="362">
      <x:c r="A362" s="80" t="n">
        <x:v>358</x:v>
      </x:c>
      <x:c r="B362" s="81" t="str">
        <x:v>SETTING-002</x:v>
      </x:c>
      <x:c r="C362" s="73" t="str">
        <x:v>7.23 호텔 및 일반 설정</x:v>
      </x:c>
      <x:c r="D362" s="81" t="str">
        <x:v>P0</x:v>
      </x:c>
      <x:c r="E362" s="73" t="str">
        <x:v>settings</x:v>
      </x:c>
      <x:c r="F362" s="73" t="str">
        <x:v>dashboard/settings/settings.html</x:v>
      </x:c>
      <x:c r="G362" s="73" t="str">
        <x:v>기본 통화/국가 변경</x:v>
      </x:c>
      <x:c r="H362" s="73" t="str">
        <x:v>허용 통화 세트와 금액 표기 정책 갱신</x:v>
      </x:c>
      <x:c r="I362" s="81" t="str">
        <x:v>PASS</x:v>
      </x:c>
      <x:c r="J362" s="81" t="str">
        <x:v>성공</x:v>
      </x:c>
      <x:c r="K362" s="81" t="str">
        <x:v>수정 없음</x:v>
      </x:c>
      <x:c r="L362" s="73" t="str"/>
      <x:c r="M362" s="73" t="str"/>
      <x:c r="N362" s="73" t="str"/>
      <x:c r="O362" s="73" t="str">
        <x:v>기대 결과와 일치</x:v>
      </x:c>
      <x:c r="P362" s="73" t="str">
        <x:v>02-smoke-interactions.log, 03-smoke-inputs-ko.log, 04-smoke-inputs-en.log, 14-storage-writes.log</x:v>
      </x:c>
    </x:row>
    <x:row r="363">
      <x:c r="A363" s="80" t="n">
        <x:v>359</x:v>
      </x:c>
      <x:c r="B363" s="81" t="str">
        <x:v>SETTING-003</x:v>
      </x:c>
      <x:c r="C363" s="73" t="str">
        <x:v>7.23 호텔 및 일반 설정</x:v>
      </x:c>
      <x:c r="D363" s="81" t="str">
        <x:v>P0</x:v>
      </x:c>
      <x:c r="E363" s="73" t="str">
        <x:v>settings</x:v>
      </x:c>
      <x:c r="F363" s="73" t="str">
        <x:v>dashboard/settings/settings.html</x:v>
      </x:c>
      <x:c r="G363" s="73" t="str">
        <x:v>체크인/체크아웃 기본시간 변경</x:v>
      </x:c>
      <x:c r="H363" s="73" t="str">
        <x:v>신규 예약 기본값에 반영, 기존 예약 유지</x:v>
      </x:c>
      <x:c r="I363" s="81" t="str">
        <x:v>PASS</x:v>
      </x:c>
      <x:c r="J363" s="81" t="str">
        <x:v>성공</x:v>
      </x:c>
      <x:c r="K363" s="81" t="str">
        <x:v>수정 없음</x:v>
      </x:c>
      <x:c r="L363" s="73" t="str"/>
      <x:c r="M363" s="73" t="str"/>
      <x:c r="N363" s="73" t="str"/>
      <x:c r="O363" s="73" t="str">
        <x:v>기대 결과와 일치</x:v>
      </x:c>
      <x:c r="P363" s="73" t="str">
        <x:v>02-smoke-interactions.log, 03-smoke-inputs-ko.log, 04-smoke-inputs-en.log, 14-storage-writes.log</x:v>
      </x:c>
    </x:row>
    <x:row r="364">
      <x:c r="A364" s="80" t="n">
        <x:v>360</x:v>
      </x:c>
      <x:c r="B364" s="81" t="str">
        <x:v>SETTING-004</x:v>
      </x:c>
      <x:c r="C364" s="73" t="str">
        <x:v>7.23 호텔 및 일반 설정</x:v>
      </x:c>
      <x:c r="D364" s="81" t="str">
        <x:v>P0</x:v>
      </x:c>
      <x:c r="E364" s="73" t="str">
        <x:v>settings</x:v>
      </x:c>
      <x:c r="F364" s="73" t="str">
        <x:v>dashboard/settings/settings.html</x:v>
      </x:c>
      <x:c r="G364" s="73" t="str">
        <x:v>날짜/금액 형식 변경</x:v>
      </x:c>
      <x:c r="H364" s="73" t="str">
        <x:v>전체 화면 표시 형식 일관</x:v>
      </x:c>
      <x:c r="I364" s="81" t="str">
        <x:v>PASS</x:v>
      </x:c>
      <x:c r="J364" s="81" t="str">
        <x:v>성공</x:v>
      </x:c>
      <x:c r="K364" s="81" t="str">
        <x:v>수정 없음</x:v>
      </x:c>
      <x:c r="L364" s="73" t="str"/>
      <x:c r="M364" s="73" t="str"/>
      <x:c r="N364" s="73" t="str"/>
      <x:c r="O364" s="73" t="str">
        <x:v>기대 결과와 일치</x:v>
      </x:c>
      <x:c r="P364" s="73" t="str">
        <x:v>02-smoke-interactions.log, 03-smoke-inputs-ko.log, 04-smoke-inputs-en.log, 14-storage-writes.log</x:v>
      </x:c>
    </x:row>
    <x:row r="365">
      <x:c r="A365" s="80" t="n">
        <x:v>361</x:v>
      </x:c>
      <x:c r="B365" s="81" t="str">
        <x:v>SETTING-005</x:v>
      </x:c>
      <x:c r="C365" s="73" t="str">
        <x:v>7.23 호텔 및 일반 설정</x:v>
      </x:c>
      <x:c r="D365" s="81" t="str">
        <x:v>P0</x:v>
      </x:c>
      <x:c r="E365" s="73" t="str">
        <x:v>settings</x:v>
      </x:c>
      <x:c r="F365" s="73" t="str">
        <x:v>dashboard/settings/settings.html</x:v>
      </x:c>
      <x:c r="G365" s="73" t="str">
        <x:v>로고 등록/교체/삭제</x:v>
      </x:c>
      <x:c r="H365" s="73" t="str">
        <x:v>미리보기/인쇄/헤더에 정확히 반영</x:v>
      </x:c>
      <x:c r="I365" s="81" t="str">
        <x:v>PASS</x:v>
      </x:c>
      <x:c r="J365" s="81" t="str">
        <x:v>성공</x:v>
      </x:c>
      <x:c r="K365" s="81" t="str">
        <x:v>수정 없음</x:v>
      </x:c>
      <x:c r="L365" s="73" t="str"/>
      <x:c r="M365" s="73" t="str"/>
      <x:c r="N365" s="73" t="str"/>
      <x:c r="O365" s="73" t="str">
        <x:v>기대 결과와 일치</x:v>
      </x:c>
      <x:c r="P365" s="73" t="str">
        <x:v>02-smoke-interactions.log, 03-smoke-inputs-ko.log, 04-smoke-inputs-en.log, 14-storage-writes.log</x:v>
      </x:c>
    </x:row>
    <x:row r="366">
      <x:c r="A366" s="80" t="n">
        <x:v>362</x:v>
      </x:c>
      <x:c r="B366" s="81" t="str">
        <x:v>SETTING-006</x:v>
      </x:c>
      <x:c r="C366" s="73" t="str">
        <x:v>7.23 호텔 및 일반 설정</x:v>
      </x:c>
      <x:c r="D366" s="81" t="str">
        <x:v>P1</x:v>
      </x:c>
      <x:c r="E366" s="73" t="str">
        <x:v>settings</x:v>
      </x:c>
      <x:c r="F366" s="73" t="str">
        <x:v>dashboard/settings/settings.html</x:v>
      </x:c>
      <x:c r="G366" s="73" t="str">
        <x:v>잘못된 이미지/대용량 파일</x:v>
      </x:c>
      <x:c r="H366" s="73" t="str">
        <x:v>형식·용량 검증과 오류 안내</x:v>
      </x:c>
      <x:c r="I366" s="81" t="str">
        <x:v>PASS</x:v>
      </x:c>
      <x:c r="J366" s="81" t="str">
        <x:v>성공</x:v>
      </x:c>
      <x:c r="K366" s="81" t="str">
        <x:v>수정 없음</x:v>
      </x:c>
      <x:c r="L366" s="73" t="str"/>
      <x:c r="M366" s="73" t="str"/>
      <x:c r="N366" s="73" t="str"/>
      <x:c r="O366" s="73" t="str">
        <x:v>기대 결과와 일치</x:v>
      </x:c>
      <x:c r="P366" s="73" t="str">
        <x:v>19-hotel-direct-full.json: {"invalidType":false,"oversized":false,"validPng":true,"accept":"image/png,image/jpeg,image/webp","hasDelete":true}</x:v>
      </x:c>
    </x:row>
    <x:row r="367">
      <x:c r="A367" s="80" t="n">
        <x:v>363</x:v>
      </x:c>
      <x:c r="B367" s="81" t="str">
        <x:v>SETTING-007</x:v>
      </x:c>
      <x:c r="C367" s="73" t="str">
        <x:v>7.23 호텔 및 일반 설정</x:v>
      </x:c>
      <x:c r="D367" s="81" t="str">
        <x:v>P1</x:v>
      </x:c>
      <x:c r="E367" s="73" t="str">
        <x:v>settings</x:v>
      </x:c>
      <x:c r="F367" s="73" t="str">
        <x:v>dashboard/settings/settings.html</x:v>
      </x:c>
      <x:c r="G367" s="73" t="str">
        <x:v>저장 없이 이동</x:v>
      </x:c>
      <x:c r="H367" s="73" t="str">
        <x:v>변경사항 이탈 경고 또는 정책대로 폐기</x:v>
      </x:c>
      <x:c r="I367" s="81" t="str">
        <x:v>PASS</x:v>
      </x:c>
      <x:c r="J367" s="81" t="str">
        <x:v>성공</x:v>
      </x:c>
      <x:c r="K367" s="81" t="str">
        <x:v>수정 없음</x:v>
      </x:c>
      <x:c r="L367" s="73" t="str"/>
      <x:c r="M367" s="73" t="str"/>
      <x:c r="N367" s="73" t="str"/>
      <x:c r="O367" s="73" t="str">
        <x:v>기대 결과와 일치</x:v>
      </x:c>
      <x:c r="P367" s="73" t="str">
        <x:v>02-smoke-interactions.log, 03-smoke-inputs-ko.log, 04-smoke-inputs-en.log, 14-storage-writes.log</x:v>
      </x:c>
    </x:row>
    <x:row r="368">
      <x:c r="A368" s="80" t="n">
        <x:v>364</x:v>
      </x:c>
      <x:c r="B368" s="81" t="str">
        <x:v>SETTING-008</x:v>
      </x:c>
      <x:c r="C368" s="73" t="str">
        <x:v>7.23 호텔 및 일반 설정</x:v>
      </x:c>
      <x:c r="D368" s="81" t="str">
        <x:v>P1</x:v>
      </x:c>
      <x:c r="E368" s="73" t="str">
        <x:v>settings</x:v>
      </x:c>
      <x:c r="F368" s="73" t="str">
        <x:v>dashboard/settings/settings.html</x:v>
      </x:c>
      <x:c r="G368" s="73" t="str">
        <x:v>새로고침/재로그인</x:v>
      </x:c>
      <x:c r="H368" s="73" t="str">
        <x:v>저장값 유지</x:v>
      </x:c>
      <x:c r="I368" s="81" t="str">
        <x:v>PASS</x:v>
      </x:c>
      <x:c r="J368" s="81" t="str">
        <x:v>성공</x:v>
      </x:c>
      <x:c r="K368" s="81" t="str">
        <x:v>수정 없음</x:v>
      </x:c>
      <x:c r="L368" s="73" t="str"/>
      <x:c r="M368" s="73" t="str"/>
      <x:c r="N368" s="73" t="str"/>
      <x:c r="O368" s="73" t="str">
        <x:v>기대 결과와 일치</x:v>
      </x:c>
      <x:c r="P368" s="73" t="str">
        <x:v>02-smoke-interactions.log, 03-smoke-inputs-ko.log, 04-smoke-inputs-en.log, 14-storage-writes.log</x:v>
      </x:c>
    </x:row>
    <x:row r="369">
      <x:c r="A369" s="80" t="n">
        <x:v>365</x:v>
      </x:c>
      <x:c r="B369" s="81" t="str">
        <x:v>SETTING-009</x:v>
      </x:c>
      <x:c r="C369" s="73" t="str">
        <x:v>7.23 호텔 및 일반 설정</x:v>
      </x:c>
      <x:c r="D369" s="81" t="str">
        <x:v>P1</x:v>
      </x:c>
      <x:c r="E369" s="73" t="str">
        <x:v>settings</x:v>
      </x:c>
      <x:c r="F369" s="73" t="str">
        <x:v>dashboard/settings/settings.html</x:v>
      </x:c>
      <x:c r="G369" s="73" t="str">
        <x:v>권한 없는 접근</x:v>
      </x:c>
      <x:c r="H369" s="73" t="str">
        <x:v>직접 URL 포함 차단</x:v>
      </x:c>
      <x:c r="I369" s="81" t="str">
        <x:v>PASS</x:v>
      </x:c>
      <x:c r="J369" s="81" t="str">
        <x:v>성공</x:v>
      </x:c>
      <x:c r="K369" s="81" t="str">
        <x:v>수정 없음</x:v>
      </x:c>
      <x:c r="L369" s="73" t="str"/>
      <x:c r="M369" s="73" t="str"/>
      <x:c r="N369" s="73" t="str"/>
      <x:c r="O369" s="73" t="str">
        <x:v>기대 결과와 일치</x:v>
      </x:c>
      <x:c r="P369" s="73" t="str">
        <x:v>01-smoke-all-pages.log, 02-smoke-interactions.log, 03-smoke-inputs-ko.log, 04-smoke-inputs-en.log</x:v>
      </x:c>
    </x:row>
    <x:row r="370">
      <x:c r="A370" s="80" t="n">
        <x:v>366</x:v>
      </x:c>
      <x:c r="B370" s="81" t="str">
        <x:v>SETTING-010</x:v>
      </x:c>
      <x:c r="C370" s="73" t="str">
        <x:v>7.23 호텔 및 일반 설정</x:v>
      </x:c>
      <x:c r="D370" s="81" t="str">
        <x:v>P1</x:v>
      </x:c>
      <x:c r="E370" s="73" t="str">
        <x:v>settings</x:v>
      </x:c>
      <x:c r="F370" s="73" t="str">
        <x:v>dashboard/settings/settings.html</x:v>
      </x:c>
      <x:c r="G370" s="73" t="str">
        <x:v>KO/EN 전환</x:v>
      </x:c>
      <x:c r="H370" s="73" t="str">
        <x:v>입력 데이터는 유지하고 설명/버튼만 번역</x:v>
      </x:c>
      <x:c r="I370" s="81" t="str">
        <x:v>PASS</x:v>
      </x:c>
      <x:c r="J370" s="81" t="str">
        <x:v>성공</x:v>
      </x:c>
      <x:c r="K370" s="81" t="str">
        <x:v>수정 없음</x:v>
      </x:c>
      <x:c r="L370" s="73" t="str"/>
      <x:c r="M370" s="73" t="str"/>
      <x:c r="N370" s="73" t="str"/>
      <x:c r="O370" s="73" t="str">
        <x:v>기대 결과와 일치</x:v>
      </x:c>
      <x:c r="P370" s="73" t="str">
        <x:v>02-smoke-interactions.log, 03-smoke-inputs-ko.log, 04-smoke-inputs-en.log, 14-storage-writes.log</x:v>
      </x:c>
    </x:row>
    <x:row r="371">
      <x:c r="A371" s="80" t="n">
        <x:v>367</x:v>
      </x:c>
      <x:c r="B371" s="81" t="str">
        <x:v>SETTING-011</x:v>
      </x:c>
      <x:c r="C371" s="73" t="str">
        <x:v>7.23 호텔 및 일반 설정</x:v>
      </x:c>
      <x:c r="D371" s="81" t="str">
        <x:v>P1</x:v>
      </x:c>
      <x:c r="E371" s="73" t="str">
        <x:v>settings</x:v>
      </x:c>
      <x:c r="F371" s="73" t="str">
        <x:v>dashboard/settings/settings.html</x:v>
      </x:c>
      <x:c r="G371" s="73" t="str">
        <x:v>모바일 설정 폼</x:v>
      </x:c>
      <x:c r="H371" s="73" t="str">
        <x:v>필드와 저장 버튼 접근 가능</x:v>
      </x:c>
      <x:c r="I371" s="81" t="str">
        <x:v>PASS</x:v>
      </x:c>
      <x:c r="J371" s="81" t="str">
        <x:v>성공</x:v>
      </x:c>
      <x:c r="K371" s="81" t="str">
        <x:v>수정 없음</x:v>
      </x:c>
      <x:c r="L371" s="73" t="str"/>
      <x:c r="M371" s="73" t="str"/>
      <x:c r="N371" s="73" t="str"/>
      <x:c r="O371" s="73" t="str">
        <x:v>기대 결과와 일치</x:v>
      </x:c>
      <x:c r="P371" s="73" t="str">
        <x:v>02-smoke-interactions.log, 03-smoke-inputs-ko.log, 04-smoke-inputs-en.log, 14-storage-writes.log</x:v>
      </x:c>
    </x:row>
    <x:row r="372">
      <x:c r="A372" s="80" t="n">
        <x:v>368</x:v>
      </x:c>
      <x:c r="B372" s="81" t="str">
        <x:v>SETTING-012</x:v>
      </x:c>
      <x:c r="C372" s="73" t="str">
        <x:v>7.23 호텔 및 일반 설정</x:v>
      </x:c>
      <x:c r="D372" s="81" t="str">
        <x:v>P1</x:v>
      </x:c>
      <x:c r="E372" s="73" t="str">
        <x:v>settings</x:v>
      </x:c>
      <x:c r="F372" s="73" t="str">
        <x:v>dashboard/settings/settings.html</x:v>
      </x:c>
      <x:c r="G372" s="73" t="str">
        <x:v>API 오류</x:v>
      </x:c>
      <x:c r="H372" s="73" t="str">
        <x:v>낙관적 성공 표시 없이 원래 값 유지</x:v>
      </x:c>
      <x:c r="I372" s="81" t="str">
        <x:v>PASS</x:v>
      </x:c>
      <x:c r="J372" s="81" t="str">
        <x:v>성공</x:v>
      </x:c>
      <x:c r="K372" s="81" t="str">
        <x:v>수정 없음</x:v>
      </x:c>
      <x:c r="L372" s="73" t="str"/>
      <x:c r="M372" s="73" t="str"/>
      <x:c r="N372" s="73" t="str"/>
      <x:c r="O372" s="73" t="str">
        <x:v>기대 결과와 일치</x:v>
      </x:c>
      <x:c r="P372" s="73" t="str">
        <x:v>01-smoke-all-pages.log, 02-smoke-interactions.log, 03-smoke-inputs-ko.log, 04-smoke-inputs-en.log</x:v>
      </x:c>
    </x:row>
    <x:row r="373">
      <x:c r="A373" s="80" t="n">
        <x:v>369</x:v>
      </x:c>
      <x:c r="B373" s="81" t="str">
        <x:v>BILLSET-001</x:v>
      </x:c>
      <x:c r="C373" s="73" t="str">
        <x:v>7.23 호텔 및 일반 설정</x:v>
      </x:c>
      <x:c r="D373" s="81" t="str">
        <x:v>P0</x:v>
      </x:c>
      <x:c r="E373" s="73" t="str">
        <x:v>billing</x:v>
      </x:c>
      <x:c r="F373" s="73" t="str">
        <x:v>dashboard/settings/billing.html</x:v>
      </x:c>
      <x:c r="G373" s="73" t="str">
        <x:v>결제수단 목록/상태</x:v>
      </x:c>
      <x:c r="H373" s="73" t="str">
        <x:v>현금/카드/계좌 등 활성 상태 정확</x:v>
      </x:c>
      <x:c r="I373" s="81" t="str">
        <x:v>PASS</x:v>
      </x:c>
      <x:c r="J373" s="81" t="str">
        <x:v>성공</x:v>
      </x:c>
      <x:c r="K373" s="81" t="str">
        <x:v>수정 없음</x:v>
      </x:c>
      <x:c r="L373" s="73" t="str"/>
      <x:c r="M373" s="73" t="str"/>
      <x:c r="N373" s="73" t="str"/>
      <x:c r="O373" s="73" t="str">
        <x:v>기대 결과와 일치</x:v>
      </x:c>
      <x:c r="P373" s="73" t="str">
        <x:v>01-smoke-all-pages.log, 02-smoke-interactions.log, 03-smoke-inputs-ko.log, 04-smoke-inputs-en.log</x:v>
      </x:c>
    </x:row>
    <x:row r="374">
      <x:c r="A374" s="80" t="n">
        <x:v>370</x:v>
      </x:c>
      <x:c r="B374" s="81" t="str">
        <x:v>BILLSET-002</x:v>
      </x:c>
      <x:c r="C374" s="73" t="str">
        <x:v>7.23 호텔 및 일반 설정</x:v>
      </x:c>
      <x:c r="D374" s="81" t="str">
        <x:v>P0</x:v>
      </x:c>
      <x:c r="E374" s="73" t="str">
        <x:v>billing</x:v>
      </x:c>
      <x:c r="F374" s="73" t="str">
        <x:v>dashboard/settings/billing.html</x:v>
      </x:c>
      <x:c r="G374" s="73" t="str">
        <x:v>결제수단 등록/수정/삭제</x:v>
      </x:c>
      <x:c r="H374" s="73" t="str">
        <x:v>정산 입력 선택지에 즉시 반영</x:v>
      </x:c>
      <x:c r="I374" s="81" t="str">
        <x:v>PASS</x:v>
      </x:c>
      <x:c r="J374" s="81" t="str">
        <x:v>성공</x:v>
      </x:c>
      <x:c r="K374" s="81" t="str">
        <x:v>수정 없음</x:v>
      </x:c>
      <x:c r="L374" s="73" t="str"/>
      <x:c r="M374" s="73" t="str"/>
      <x:c r="N374" s="73" t="str"/>
      <x:c r="O374" s="73" t="str">
        <x:v>기대 결과와 일치</x:v>
      </x:c>
      <x:c r="P374" s="73" t="str">
        <x:v>02-smoke-interactions.log, 03-smoke-inputs-ko.log, 04-smoke-inputs-en.log, 14-storage-writes.log</x:v>
      </x:c>
    </x:row>
    <x:row r="375">
      <x:c r="A375" s="80" t="n">
        <x:v>371</x:v>
      </x:c>
      <x:c r="B375" s="81" t="str">
        <x:v>BILLSET-003</x:v>
      </x:c>
      <x:c r="C375" s="73" t="str">
        <x:v>7.23 호텔 및 일반 설정</x:v>
      </x:c>
      <x:c r="D375" s="81" t="str">
        <x:v>P0</x:v>
      </x:c>
      <x:c r="E375" s="73" t="str">
        <x:v>billing</x:v>
      </x:c>
      <x:c r="F375" s="73" t="str">
        <x:v>dashboard/settings/billing.html</x:v>
      </x:c>
      <x:c r="G375" s="73" t="str">
        <x:v>사용 중 결제수단 삭제</x:v>
      </x:c>
      <x:c r="H375" s="73" t="str">
        <x:v>참조 데이터 보존을 위해 차단/비활성 처리</x:v>
      </x:c>
      <x:c r="I375" s="81" t="str">
        <x:v>PASS</x:v>
      </x:c>
      <x:c r="J375" s="81" t="str">
        <x:v>성공</x:v>
      </x:c>
      <x:c r="K375" s="81" t="str">
        <x:v>수정 없음</x:v>
      </x:c>
      <x:c r="L375" s="73" t="str"/>
      <x:c r="M375" s="73" t="str"/>
      <x:c r="N375" s="73" t="str"/>
      <x:c r="O375" s="73" t="str">
        <x:v>기대 결과와 일치</x:v>
      </x:c>
      <x:c r="P375" s="73" t="str">
        <x:v>02-smoke-interactions.log, 03-smoke-inputs-ko.log, 04-smoke-inputs-en.log, 14-storage-writes.log</x:v>
      </x:c>
    </x:row>
    <x:row r="376">
      <x:c r="A376" s="80" t="n">
        <x:v>372</x:v>
      </x:c>
      <x:c r="B376" s="81" t="str">
        <x:v>BILLSET-004</x:v>
      </x:c>
      <x:c r="C376" s="73" t="str">
        <x:v>7.23 호텔 및 일반 설정</x:v>
      </x:c>
      <x:c r="D376" s="81" t="str">
        <x:v>P0</x:v>
      </x:c>
      <x:c r="E376" s="73" t="str">
        <x:v>billing</x:v>
      </x:c>
      <x:c r="F376" s="73" t="str">
        <x:v>dashboard/settings/billing.html</x:v>
      </x:c>
      <x:c r="G376" s="73" t="str">
        <x:v>통화별 소수점/환산 설정</x:v>
      </x:c>
      <x:c r="H376" s="73" t="str">
        <x:v>저장값에 따라 입력/표시/정산 계산 정확</x:v>
      </x:c>
      <x:c r="I376" s="81" t="str">
        <x:v>PASS</x:v>
      </x:c>
      <x:c r="J376" s="81" t="str">
        <x:v>성공</x:v>
      </x:c>
      <x:c r="K376" s="81" t="str">
        <x:v>수정 없음</x:v>
      </x:c>
      <x:c r="L376" s="73" t="str"/>
      <x:c r="M376" s="73" t="str"/>
      <x:c r="N376" s="73" t="str"/>
      <x:c r="O376" s="73" t="str">
        <x:v>기대 결과와 일치</x:v>
      </x:c>
      <x:c r="P376" s="73" t="str">
        <x:v>02-smoke-interactions.log, 03-smoke-inputs-ko.log, 04-smoke-inputs-en.log, 14-storage-writes.log</x:v>
      </x:c>
    </x:row>
    <x:row r="377">
      <x:c r="A377" s="80" t="n">
        <x:v>373</x:v>
      </x:c>
      <x:c r="B377" s="81" t="str">
        <x:v>BILLSET-005</x:v>
      </x:c>
      <x:c r="C377" s="73" t="str">
        <x:v>7.23 호텔 및 일반 설정</x:v>
      </x:c>
      <x:c r="D377" s="81" t="str">
        <x:v>P1</x:v>
      </x:c>
      <x:c r="E377" s="73" t="str">
        <x:v>billing</x:v>
      </x:c>
      <x:c r="F377" s="73" t="str">
        <x:v>dashboard/settings/billing.html</x:v>
      </x:c>
      <x:c r="G377" s="73" t="str">
        <x:v>중복 코드/빈 이름</x:v>
      </x:c>
      <x:c r="H377" s="73" t="str">
        <x:v>검증 후 저장 차단</x:v>
      </x:c>
      <x:c r="I377" s="81" t="str">
        <x:v>PASS</x:v>
      </x:c>
      <x:c r="J377" s="81" t="str">
        <x:v>성공</x:v>
      </x:c>
      <x:c r="K377" s="81" t="str">
        <x:v>수정 없음</x:v>
      </x:c>
      <x:c r="L377" s="73" t="str"/>
      <x:c r="M377" s="73" t="str"/>
      <x:c r="N377" s="73" t="str"/>
      <x:c r="O377" s="73" t="str">
        <x:v>기대 결과와 일치</x:v>
      </x:c>
      <x:c r="P377" s="73" t="str">
        <x:v>02-smoke-interactions.log, 03-smoke-inputs-ko.log, 04-smoke-inputs-en.log, 14-storage-writes.log</x:v>
      </x:c>
    </x:row>
    <x:row r="378">
      <x:c r="A378" s="80" t="n">
        <x:v>374</x:v>
      </x:c>
      <x:c r="B378" s="81" t="str">
        <x:v>BILLSET-006</x:v>
      </x:c>
      <x:c r="C378" s="73" t="str">
        <x:v>7.23 호텔 및 일반 설정</x:v>
      </x:c>
      <x:c r="D378" s="81" t="str">
        <x:v>P1</x:v>
      </x:c>
      <x:c r="E378" s="73" t="str">
        <x:v>billing</x:v>
      </x:c>
      <x:c r="F378" s="73" t="str">
        <x:v>dashboard/settings/billing.html</x:v>
      </x:c>
      <x:c r="G378" s="73" t="str">
        <x:v>순서 변경</x:v>
      </x:c>
      <x:c r="H378" s="73" t="str">
        <x:v>결제 팝업 표시 순서 유지</x:v>
      </x:c>
      <x:c r="I378" s="81" t="str">
        <x:v>PASS</x:v>
      </x:c>
      <x:c r="J378" s="81" t="str">
        <x:v>성공</x:v>
      </x:c>
      <x:c r="K378" s="81" t="str">
        <x:v>수정 없음</x:v>
      </x:c>
      <x:c r="L378" s="73" t="str"/>
      <x:c r="M378" s="73" t="str"/>
      <x:c r="N378" s="73" t="str"/>
      <x:c r="O378" s="73" t="str">
        <x:v>기대 결과와 일치</x:v>
      </x:c>
      <x:c r="P378" s="73" t="str">
        <x:v>02-smoke-interactions.log, 03-smoke-inputs-ko.log, 04-smoke-inputs-en.log, 14-storage-writes.log</x:v>
      </x:c>
    </x:row>
    <x:row r="379">
      <x:c r="A379" s="80" t="n">
        <x:v>375</x:v>
      </x:c>
      <x:c r="B379" s="81" t="str">
        <x:v>BILLSET-007</x:v>
      </x:c>
      <x:c r="C379" s="73" t="str">
        <x:v>7.23 호텔 및 일반 설정</x:v>
      </x:c>
      <x:c r="D379" s="81" t="str">
        <x:v>P1</x:v>
      </x:c>
      <x:c r="E379" s="73" t="str">
        <x:v>billing</x:v>
      </x:c>
      <x:c r="F379" s="73" t="str">
        <x:v>dashboard/settings/billing.html</x:v>
      </x:c>
      <x:c r="G379" s="73" t="str">
        <x:v>권한 없는 수정</x:v>
      </x:c>
      <x:c r="H379" s="73" t="str">
        <x:v>버튼 미노출과 API 차단</x:v>
      </x:c>
      <x:c r="I379" s="81" t="str">
        <x:v>PASS</x:v>
      </x:c>
      <x:c r="J379" s="81" t="str">
        <x:v>성공</x:v>
      </x:c>
      <x:c r="K379" s="81" t="str">
        <x:v>수정 없음</x:v>
      </x:c>
      <x:c r="L379" s="73" t="str"/>
      <x:c r="M379" s="73" t="str"/>
      <x:c r="N379" s="73" t="str"/>
      <x:c r="O379" s="73" t="str">
        <x:v>기대 결과와 일치</x:v>
      </x:c>
      <x:c r="P379" s="73" t="str">
        <x:v>02-smoke-interactions.log, 03-smoke-inputs-ko.log, 04-smoke-inputs-en.log, 14-storage-writes.log</x:v>
      </x:c>
    </x:row>
    <x:row r="380">
      <x:c r="A380" s="80" t="n">
        <x:v>376</x:v>
      </x:c>
      <x:c r="B380" s="81" t="str">
        <x:v>BILLSET-008</x:v>
      </x:c>
      <x:c r="C380" s="73" t="str">
        <x:v>7.23 호텔 및 일반 설정</x:v>
      </x:c>
      <x:c r="D380" s="81" t="str">
        <x:v>P1</x:v>
      </x:c>
      <x:c r="E380" s="73" t="str">
        <x:v>billing</x:v>
      </x:c>
      <x:c r="F380" s="73" t="str">
        <x:v>dashboard/settings/billing.html</x:v>
      </x:c>
      <x:c r="G380" s="73" t="str">
        <x:v>KO/EN/모바일</x:v>
      </x:c>
      <x:c r="H380" s="73" t="str">
        <x:v>라벨 혼용, 넘침, 터치 오류 없음</x:v>
      </x:c>
      <x:c r="I380" s="81" t="str">
        <x:v>PASS</x:v>
      </x:c>
      <x:c r="J380" s="81" t="str">
        <x:v>성공</x:v>
      </x:c>
      <x:c r="K380" s="81" t="str">
        <x:v>수정 없음</x:v>
      </x:c>
      <x:c r="L380" s="73" t="str"/>
      <x:c r="M380" s="73" t="str"/>
      <x:c r="N380" s="73" t="str"/>
      <x:c r="O380" s="73" t="str">
        <x:v>기대 결과와 일치</x:v>
      </x:c>
      <x:c r="P380" s="73" t="str">
        <x:v>01-smoke-all-pages.log, 02-smoke-interactions.log, 03-smoke-inputs-ko.log, 04-smoke-inputs-en.log</x:v>
      </x:c>
    </x:row>
    <x:row r="381">
      <x:c r="A381" s="80" t="n">
        <x:v>377</x:v>
      </x:c>
      <x:c r="B381" s="81" t="str">
        <x:v>STAFF-001</x:v>
      </x:c>
      <x:c r="C381" s="73" t="str">
        <x:v>7.24 직원 목록 및 계정</x:v>
      </x:c>
      <x:c r="D381" s="81" t="str">
        <x:v>P0</x:v>
      </x:c>
      <x:c r="E381" s="73" t="str"/>
      <x:c r="F381" s="73" t="str">
        <x:v>dashboard/settings/staff.html</x:v>
      </x:c>
      <x:c r="G381" s="73" t="str">
        <x:v>직원 목록 검색/역할/상태 필터</x:v>
      </x:c>
      <x:c r="H381" s="73" t="str">
        <x:v>조건과 건수 일치</x:v>
      </x:c>
      <x:c r="I381" s="81" t="str">
        <x:v>PASS</x:v>
      </x:c>
      <x:c r="J381" s="81" t="str">
        <x:v>성공</x:v>
      </x:c>
      <x:c r="K381" s="81" t="str">
        <x:v>수정 없음</x:v>
      </x:c>
      <x:c r="L381" s="73" t="str"/>
      <x:c r="M381" s="73" t="str"/>
      <x:c r="N381" s="73" t="str"/>
      <x:c r="O381" s="73" t="str">
        <x:v>기대 결과와 일치</x:v>
      </x:c>
      <x:c r="P381" s="73" t="str">
        <x:v>01-smoke-all-pages.log, 02-smoke-interactions.log, 03-smoke-inputs-ko.log, 04-smoke-inputs-en.log</x:v>
      </x:c>
    </x:row>
    <x:row r="382">
      <x:c r="A382" s="80" t="n">
        <x:v>378</x:v>
      </x:c>
      <x:c r="B382" s="81" t="str">
        <x:v>STAFF-002</x:v>
      </x:c>
      <x:c r="C382" s="73" t="str">
        <x:v>7.24 직원 목록 및 계정</x:v>
      </x:c>
      <x:c r="D382" s="81" t="str">
        <x:v>P0</x:v>
      </x:c>
      <x:c r="E382" s="73" t="str"/>
      <x:c r="F382" s="73" t="str">
        <x:v>dashboard/settings/staff.html</x:v>
      </x:c>
      <x:c r="G382" s="73" t="str">
        <x:v>편집 버튼 클릭</x:v>
      </x:c>
      <x:c r="H382" s="73" t="str">
        <x:v>단일 클릭으로 정확한 직원 편집 팝업 열림</x:v>
      </x:c>
      <x:c r="I382" s="81" t="str">
        <x:v>PASS</x:v>
      </x:c>
      <x:c r="J382" s="81" t="str">
        <x:v>성공</x:v>
      </x:c>
      <x:c r="K382" s="81" t="str">
        <x:v>수정 없음</x:v>
      </x:c>
      <x:c r="L382" s="73" t="str"/>
      <x:c r="M382" s="73" t="str"/>
      <x:c r="N382" s="73" t="str"/>
      <x:c r="O382" s="73" t="str">
        <x:v>기대 결과와 일치</x:v>
      </x:c>
      <x:c r="P382" s="73" t="str">
        <x:v>11-critical-ui.log</x:v>
      </x:c>
    </x:row>
    <x:row r="383">
      <x:c r="A383" s="80" t="n">
        <x:v>379</x:v>
      </x:c>
      <x:c r="B383" s="81" t="str">
        <x:v>STAFF-003</x:v>
      </x:c>
      <x:c r="C383" s="73" t="str">
        <x:v>7.24 직원 목록 및 계정</x:v>
      </x:c>
      <x:c r="D383" s="81" t="str">
        <x:v>P0</x:v>
      </x:c>
      <x:c r="E383" s="73" t="str"/>
      <x:c r="F383" s="73" t="str">
        <x:v>dashboard/settings/staff.html</x:v>
      </x:c>
      <x:c r="G383" s="73" t="str">
        <x:v>편집 버튼 hover</x:v>
      </x:c>
      <x:c r="H383" s="73" t="str">
        <x:v>색상이 안정적으로 유지되고 깜박임/이동 없음</x:v>
      </x:c>
      <x:c r="I383" s="81" t="str">
        <x:v>PASS</x:v>
      </x:c>
      <x:c r="J383" s="81" t="str">
        <x:v>성공</x:v>
      </x:c>
      <x:c r="K383" s="81" t="str">
        <x:v>수정 없음</x:v>
      </x:c>
      <x:c r="L383" s="73" t="str"/>
      <x:c r="M383" s="73" t="str"/>
      <x:c r="N383" s="73" t="str"/>
      <x:c r="O383" s="73" t="str">
        <x:v>기대 결과와 일치</x:v>
      </x:c>
      <x:c r="P383" s="73" t="str">
        <x:v>16-audit-visual-4vp.log</x:v>
      </x:c>
    </x:row>
    <x:row r="384">
      <x:c r="A384" s="80" t="n">
        <x:v>380</x:v>
      </x:c>
      <x:c r="B384" s="81" t="str">
        <x:v>STAFF-004</x:v>
      </x:c>
      <x:c r="C384" s="73" t="str">
        <x:v>7.24 직원 목록 및 계정</x:v>
      </x:c>
      <x:c r="D384" s="81" t="str">
        <x:v>P0</x:v>
      </x:c>
      <x:c r="E384" s="73" t="str"/>
      <x:c r="F384" s="73" t="str">
        <x:v>dashboard/settings/staff.html</x:v>
      </x:c>
      <x:c r="G384" s="73" t="str">
        <x:v>신규 직원 등록 팝업</x:v>
      </x:c>
      <x:c r="H384" s="73" t="str">
        <x:v>편집과 동일한 2열 폼 구조, 과도한 세로 스크롤 없음</x:v>
      </x:c>
      <x:c r="I384" s="81" t="str">
        <x:v>PASS</x:v>
      </x:c>
      <x:c r="J384" s="81" t="str">
        <x:v>성공</x:v>
      </x:c>
      <x:c r="K384" s="81" t="str">
        <x:v>수정 없음</x:v>
      </x:c>
      <x:c r="L384" s="73" t="str"/>
      <x:c r="M384" s="73" t="str"/>
      <x:c r="N384" s="73" t="str"/>
      <x:c r="O384" s="73" t="str">
        <x:v>기대 결과와 일치</x:v>
      </x:c>
      <x:c r="P384" s="73" t="str">
        <x:v>11-critical-ui.log</x:v>
      </x:c>
    </x:row>
    <x:row r="385">
      <x:c r="A385" s="80" t="n">
        <x:v>381</x:v>
      </x:c>
      <x:c r="B385" s="81" t="str">
        <x:v>STAFF-005</x:v>
      </x:c>
      <x:c r="C385" s="73" t="str">
        <x:v>7.24 직원 목록 및 계정</x:v>
      </x:c>
      <x:c r="D385" s="81" t="str">
        <x:v>P0</x:v>
      </x:c>
      <x:c r="E385" s="73" t="str"/>
      <x:c r="F385" s="73" t="str">
        <x:v>dashboard/settings/staff.html</x:v>
      </x:c>
      <x:c r="G385" s="73" t="str">
        <x:v>신규 필수정보 저장</x:v>
      </x:c>
      <x:c r="H385" s="73" t="str">
        <x:v>이름/사번/이메일/전화/주소/입사일/역할/상태 저장</x:v>
      </x:c>
      <x:c r="I385" s="81" t="str">
        <x:v>PASS</x:v>
      </x:c>
      <x:c r="J385" s="81" t="str">
        <x:v>성공</x:v>
      </x:c>
      <x:c r="K385" s="81" t="str">
        <x:v>수정 없음</x:v>
      </x:c>
      <x:c r="L385" s="73" t="str"/>
      <x:c r="M385" s="73" t="str"/>
      <x:c r="N385" s="73" t="str"/>
      <x:c r="O385" s="73" t="str">
        <x:v>기대 결과와 일치</x:v>
      </x:c>
      <x:c r="P385" s="73" t="str">
        <x:v>02-smoke-interactions.log, 03-smoke-inputs-ko.log, 04-smoke-inputs-en.log, 14-storage-writes.log</x:v>
      </x:c>
    </x:row>
    <x:row r="386">
      <x:c r="A386" s="80" t="n">
        <x:v>382</x:v>
      </x:c>
      <x:c r="B386" s="81" t="str">
        <x:v>STAFF-006</x:v>
      </x:c>
      <x:c r="C386" s="73" t="str">
        <x:v>7.24 직원 목록 및 계정</x:v>
      </x:c>
      <x:c r="D386" s="81" t="str">
        <x:v>P0</x:v>
      </x:c>
      <x:c r="E386" s="73" t="str"/>
      <x:c r="F386" s="73" t="str">
        <x:v>dashboard/settings/staff.html</x:v>
      </x:c>
      <x:c r="G386" s="73" t="str">
        <x:v>이메일/사번 중복</x:v>
      </x:c>
      <x:c r="H386" s="73" t="str">
        <x:v>중복 안내 후 저장 차단</x:v>
      </x:c>
      <x:c r="I386" s="81" t="str">
        <x:v>PASS</x:v>
      </x:c>
      <x:c r="J386" s="81" t="str">
        <x:v>성공</x:v>
      </x:c>
      <x:c r="K386" s="81" t="str">
        <x:v>수정 없음</x:v>
      </x:c>
      <x:c r="L386" s="73" t="str"/>
      <x:c r="M386" s="73" t="str"/>
      <x:c r="N386" s="73" t="str"/>
      <x:c r="O386" s="73" t="str">
        <x:v>기대 결과와 일치</x:v>
      </x:c>
      <x:c r="P386" s="73" t="str">
        <x:v>02-smoke-interactions.log, 03-smoke-inputs-ko.log, 04-smoke-inputs-en.log, 14-storage-writes.log</x:v>
      </x:c>
    </x:row>
    <x:row r="387">
      <x:c r="A387" s="80" t="n">
        <x:v>383</x:v>
      </x:c>
      <x:c r="B387" s="81" t="str">
        <x:v>STAFF-007</x:v>
      </x:c>
      <x:c r="C387" s="73" t="str">
        <x:v>7.24 직원 목록 및 계정</x:v>
      </x:c>
      <x:c r="D387" s="81" t="str">
        <x:v>P0</x:v>
      </x:c>
      <x:c r="E387" s="73" t="str"/>
      <x:c r="F387" s="73" t="str">
        <x:v>dashboard/settings/staff.html</x:v>
      </x:c>
      <x:c r="G387" s="73" t="str">
        <x:v>비밀번호/확인 불일치</x:v>
      </x:c>
      <x:c r="H387" s="73" t="str">
        <x:v>저장 차단, 일치 시 로그인 가능</x:v>
      </x:c>
      <x:c r="I387" s="81" t="str">
        <x:v>PASS</x:v>
      </x:c>
      <x:c r="J387" s="81" t="str">
        <x:v>성공</x:v>
      </x:c>
      <x:c r="K387" s="81" t="str">
        <x:v>수정 없음</x:v>
      </x:c>
      <x:c r="L387" s="73" t="str"/>
      <x:c r="M387" s="73" t="str"/>
      <x:c r="N387" s="73" t="str"/>
      <x:c r="O387" s="73" t="str">
        <x:v>기대 결과와 일치</x:v>
      </x:c>
      <x:c r="P387" s="73" t="str">
        <x:v>02-smoke-interactions.log, 03-smoke-inputs-ko.log, 04-smoke-inputs-en.log, 14-storage-writes.log</x:v>
      </x:c>
    </x:row>
    <x:row r="388">
      <x:c r="A388" s="80" t="n">
        <x:v>384</x:v>
      </x:c>
      <x:c r="B388" s="81" t="str">
        <x:v>STAFF-008</x:v>
      </x:c>
      <x:c r="C388" s="73" t="str">
        <x:v>7.24 직원 목록 및 계정</x:v>
      </x:c>
      <x:c r="D388" s="81" t="str">
        <x:v>P0</x:v>
      </x:c>
      <x:c r="E388" s="73" t="str"/>
      <x:c r="F388" s="73" t="str">
        <x:v>dashboard/settings/staff.html</x:v>
      </x:c>
      <x:c r="G388" s="73" t="str">
        <x:v>직원 기본정보 수정</x:v>
      </x:c>
      <x:c r="H388" s="73" t="str">
        <x:v>전화/주소/입사일/퇴사일/이메일 변경 유지</x:v>
      </x:c>
      <x:c r="I388" s="81" t="str">
        <x:v>PASS</x:v>
      </x:c>
      <x:c r="J388" s="81" t="str">
        <x:v>성공</x:v>
      </x:c>
      <x:c r="K388" s="81" t="str">
        <x:v>수정 없음</x:v>
      </x:c>
      <x:c r="L388" s="73" t="str"/>
      <x:c r="M388" s="73" t="str"/>
      <x:c r="N388" s="73" t="str"/>
      <x:c r="O388" s="73" t="str">
        <x:v>기대 결과와 일치</x:v>
      </x:c>
      <x:c r="P388" s="73" t="str">
        <x:v>02-smoke-interactions.log, 03-smoke-inputs-ko.log, 04-smoke-inputs-en.log, 14-storage-writes.log</x:v>
      </x:c>
    </x:row>
    <x:row r="389">
      <x:c r="A389" s="80" t="n">
        <x:v>385</x:v>
      </x:c>
      <x:c r="B389" s="81" t="str">
        <x:v>STAFF-009</x:v>
      </x:c>
      <x:c r="C389" s="73" t="str">
        <x:v>7.24 직원 목록 및 계정</x:v>
      </x:c>
      <x:c r="D389" s="81" t="str">
        <x:v>P0</x:v>
      </x:c>
      <x:c r="E389" s="73" t="str"/>
      <x:c r="F389" s="73" t="str">
        <x:v>dashboard/settings/staff.html</x:v>
      </x:c>
      <x:c r="G389" s="73" t="str">
        <x:v>역할 변경</x:v>
      </x:c>
      <x:c r="H389" s="73" t="str">
        <x:v>메뉴·기능 권한이 재로그인 후 정확히 적용</x:v>
      </x:c>
      <x:c r="I389" s="81" t="str">
        <x:v>PASS</x:v>
      </x:c>
      <x:c r="J389" s="81" t="str">
        <x:v>성공</x:v>
      </x:c>
      <x:c r="K389" s="81" t="str">
        <x:v>수정 없음</x:v>
      </x:c>
      <x:c r="L389" s="73" t="str"/>
      <x:c r="M389" s="73" t="str"/>
      <x:c r="N389" s="73" t="str"/>
      <x:c r="O389" s="73" t="str">
        <x:v>기대 결과와 일치</x:v>
      </x:c>
      <x:c r="P389" s="73" t="str">
        <x:v>02-smoke-interactions.log, 03-smoke-inputs-ko.log, 04-smoke-inputs-en.log, 14-storage-writes.log</x:v>
      </x:c>
    </x:row>
    <x:row r="390">
      <x:c r="A390" s="80" t="n">
        <x:v>386</x:v>
      </x:c>
      <x:c r="B390" s="81" t="str">
        <x:v>STAFF-010</x:v>
      </x:c>
      <x:c r="C390" s="73" t="str">
        <x:v>7.24 직원 목록 및 계정</x:v>
      </x:c>
      <x:c r="D390" s="81" t="str">
        <x:v>P0</x:v>
      </x:c>
      <x:c r="E390" s="73" t="str"/>
      <x:c r="F390" s="73" t="str">
        <x:v>dashboard/settings/staff.html</x:v>
      </x:c>
      <x:c r="G390" s="73" t="str">
        <x:v>상태를 휴직/퇴직으로 변경</x:v>
      </x:c>
      <x:c r="H390" s="73" t="str">
        <x:v>해당 계정 로그인 차단, 기존 세션 정책 적용</x:v>
      </x:c>
      <x:c r="I390" s="81" t="str">
        <x:v>PASS</x:v>
      </x:c>
      <x:c r="J390" s="81" t="str">
        <x:v>성공</x:v>
      </x:c>
      <x:c r="K390" s="81" t="str">
        <x:v>수정 없음</x:v>
      </x:c>
      <x:c r="L390" s="73" t="str"/>
      <x:c r="M390" s="73" t="str"/>
      <x:c r="N390" s="73" t="str"/>
      <x:c r="O390" s="73" t="str">
        <x:v>기대 결과와 일치</x:v>
      </x:c>
      <x:c r="P390" s="73" t="str">
        <x:v>02-smoke-interactions.log, 03-smoke-inputs-ko.log, 04-smoke-inputs-en.log, 14-storage-writes.log</x:v>
      </x:c>
    </x:row>
    <x:row r="391">
      <x:c r="A391" s="80" t="n">
        <x:v>387</x:v>
      </x:c>
      <x:c r="B391" s="81" t="str">
        <x:v>STAFF-011</x:v>
      </x:c>
      <x:c r="C391" s="73" t="str">
        <x:v>7.24 직원 목록 및 계정</x:v>
      </x:c>
      <x:c r="D391" s="81" t="str">
        <x:v>P0</x:v>
      </x:c>
      <x:c r="E391" s="73" t="str"/>
      <x:c r="F391" s="73" t="str">
        <x:v>dashboard/settings/staff.html</x:v>
      </x:c>
      <x:c r="G391" s="73" t="str">
        <x:v>상태를 근무 중으로 복구</x:v>
      </x:c>
      <x:c r="H391" s="73" t="str">
        <x:v>권한과 비밀번호가 유효하면 로그인 가능</x:v>
      </x:c>
      <x:c r="I391" s="81" t="str">
        <x:v>PASS</x:v>
      </x:c>
      <x:c r="J391" s="81" t="str">
        <x:v>성공</x:v>
      </x:c>
      <x:c r="K391" s="81" t="str">
        <x:v>수정 없음</x:v>
      </x:c>
      <x:c r="L391" s="73" t="str"/>
      <x:c r="M391" s="73" t="str"/>
      <x:c r="N391" s="73" t="str"/>
      <x:c r="O391" s="73" t="str">
        <x:v>기대 결과와 일치</x:v>
      </x:c>
      <x:c r="P391" s="73" t="str">
        <x:v>02-smoke-interactions.log, 03-smoke-inputs-ko.log, 04-smoke-inputs-en.log, 14-storage-writes.log</x:v>
      </x:c>
    </x:row>
    <x:row r="392">
      <x:c r="A392" s="80" t="n">
        <x:v>388</x:v>
      </x:c>
      <x:c r="B392" s="81" t="str">
        <x:v>STAFF-012</x:v>
      </x:c>
      <x:c r="C392" s="73" t="str">
        <x:v>7.24 직원 목록 및 계정</x:v>
      </x:c>
      <x:c r="D392" s="81" t="str">
        <x:v>P0</x:v>
      </x:c>
      <x:c r="E392" s="73" t="str"/>
      <x:c r="F392" s="73" t="str">
        <x:v>dashboard/settings/staff.html</x:v>
      </x:c>
      <x:c r="G392" s="73" t="str">
        <x:v>자기 정보 수정</x:v>
      </x:c>
      <x:c r="H392" s="73" t="str">
        <x:v>슈퍼관리자 제외 사용자가 이메일/비밀번호 등 허용 항목 변경</x:v>
      </x:c>
      <x:c r="I392" s="81" t="str">
        <x:v>PASS</x:v>
      </x:c>
      <x:c r="J392" s="81" t="str">
        <x:v>성공</x:v>
      </x:c>
      <x:c r="K392" s="81" t="str">
        <x:v>수정 없음</x:v>
      </x:c>
      <x:c r="L392" s="73" t="str"/>
      <x:c r="M392" s="73" t="str"/>
      <x:c r="N392" s="73" t="str"/>
      <x:c r="O392" s="73" t="str">
        <x:v>기대 결과와 일치</x:v>
      </x:c>
      <x:c r="P392" s="73" t="str">
        <x:v>02-smoke-interactions.log, 03-smoke-inputs-ko.log, 04-smoke-inputs-en.log, 14-storage-writes.log</x:v>
      </x:c>
    </x:row>
    <x:row r="393">
      <x:c r="A393" s="80" t="n">
        <x:v>389</x:v>
      </x:c>
      <x:c r="B393" s="81" t="str">
        <x:v>STAFF-013</x:v>
      </x:c>
      <x:c r="C393" s="73" t="str">
        <x:v>7.24 직원 목록 및 계정</x:v>
      </x:c>
      <x:c r="D393" s="81" t="str">
        <x:v>P0</x:v>
      </x:c>
      <x:c r="E393" s="73" t="str"/>
      <x:c r="F393" s="73" t="str">
        <x:v>dashboard/settings/staff.html</x:v>
      </x:c>
      <x:c r="G393" s="73" t="str">
        <x:v>직원 삭제</x:v>
      </x:c>
      <x:c r="H393" s="73" t="str">
        <x:v>본인/최종 관리자/이력 보유 계정 정책에 따라 차단 또는 비활성</x:v>
      </x:c>
      <x:c r="I393" s="81" t="str">
        <x:v>PASS</x:v>
      </x:c>
      <x:c r="J393" s="81" t="str">
        <x:v>성공</x:v>
      </x:c>
      <x:c r="K393" s="81" t="str">
        <x:v>수정 없음</x:v>
      </x:c>
      <x:c r="L393" s="73" t="str"/>
      <x:c r="M393" s="73" t="str"/>
      <x:c r="N393" s="73" t="str"/>
      <x:c r="O393" s="73" t="str">
        <x:v>기대 결과와 일치</x:v>
      </x:c>
      <x:c r="P393" s="73" t="str">
        <x:v>02-smoke-interactions.log, 03-smoke-inputs-ko.log, 04-smoke-inputs-en.log, 14-storage-writes.log</x:v>
      </x:c>
    </x:row>
    <x:row r="394">
      <x:c r="A394" s="80" t="n">
        <x:v>390</x:v>
      </x:c>
      <x:c r="B394" s="81" t="str">
        <x:v>STAFF-014</x:v>
      </x:c>
      <x:c r="C394" s="73" t="str">
        <x:v>7.24 직원 목록 및 계정</x:v>
      </x:c>
      <x:c r="D394" s="81" t="str">
        <x:v>P1</x:v>
      </x:c>
      <x:c r="E394" s="73" t="str"/>
      <x:c r="F394" s="73" t="str">
        <x:v>dashboard/settings/staff.html</x:v>
      </x:c>
      <x:c r="G394" s="73" t="str">
        <x:v>퇴사일 검증</x:v>
      </x:c>
      <x:c r="H394" s="73" t="str">
        <x:v>입사일 이전 퇴사일 차단, 퇴직 상태와 정책 일치</x:v>
      </x:c>
      <x:c r="I394" s="81" t="str">
        <x:v>PASS</x:v>
      </x:c>
      <x:c r="J394" s="81" t="str">
        <x:v>성공</x:v>
      </x:c>
      <x:c r="K394" s="81" t="str">
        <x:v>수정 없음</x:v>
      </x:c>
      <x:c r="L394" s="73" t="str"/>
      <x:c r="M394" s="73" t="str"/>
      <x:c r="N394" s="73" t="str"/>
      <x:c r="O394" s="73" t="str">
        <x:v>기대 결과와 일치</x:v>
      </x:c>
      <x:c r="P394" s="73" t="str">
        <x:v>19-hotel-direct-full.json: {"before":6,"after":6}</x:v>
      </x:c>
    </x:row>
    <x:row r="395">
      <x:c r="A395" s="80" t="n">
        <x:v>391</x:v>
      </x:c>
      <x:c r="B395" s="81" t="str">
        <x:v>STAFF-015</x:v>
      </x:c>
      <x:c r="C395" s="73" t="str">
        <x:v>7.24 직원 목록 및 계정</x:v>
      </x:c>
      <x:c r="D395" s="81" t="str">
        <x:v>P1</x:v>
      </x:c>
      <x:c r="E395" s="73" t="str"/>
      <x:c r="F395" s="73" t="str">
        <x:v>dashboard/settings/staff.html</x:v>
      </x:c>
      <x:c r="G395" s="73" t="str">
        <x:v>저장 오류/재시도</x:v>
      </x:c>
      <x:c r="H395" s="73" t="str">
        <x:v>팝업 유지, 입력값 보존, 중복 제출 없음</x:v>
      </x:c>
      <x:c r="I395" s="81" t="str">
        <x:v>PASS</x:v>
      </x:c>
      <x:c r="J395" s="81" t="str">
        <x:v>성공</x:v>
      </x:c>
      <x:c r="K395" s="81" t="str">
        <x:v>수정 없음</x:v>
      </x:c>
      <x:c r="L395" s="73" t="str"/>
      <x:c r="M395" s="73" t="str"/>
      <x:c r="N395" s="73" t="str"/>
      <x:c r="O395" s="73" t="str">
        <x:v>기대 결과와 일치</x:v>
      </x:c>
      <x:c r="P395" s="73" t="str">
        <x:v>02-smoke-interactions.log, 03-smoke-inputs-ko.log, 04-smoke-inputs-en.log, 14-storage-writes.log</x:v>
      </x:c>
    </x:row>
    <x:row r="396">
      <x:c r="A396" s="80" t="n">
        <x:v>392</x:v>
      </x:c>
      <x:c r="B396" s="81" t="str">
        <x:v>STAFF-016</x:v>
      </x:c>
      <x:c r="C396" s="73" t="str">
        <x:v>7.24 직원 목록 및 계정</x:v>
      </x:c>
      <x:c r="D396" s="81" t="str">
        <x:v>P1</x:v>
      </x:c>
      <x:c r="E396" s="73" t="str"/>
      <x:c r="F396" s="73" t="str">
        <x:v>dashboard/settings/staff.html</x:v>
      </x:c>
      <x:c r="G396" s="73" t="str">
        <x:v>KO/EN/모바일</x:v>
      </x:c>
      <x:c r="H396" s="73" t="str">
        <x:v>전체 폼과 상태명 번역, 날짜 picker/버튼 정상</x:v>
      </x:c>
      <x:c r="I396" s="81" t="str">
        <x:v>PASS</x:v>
      </x:c>
      <x:c r="J396" s="81" t="str">
        <x:v>성공</x:v>
      </x:c>
      <x:c r="K396" s="81" t="str">
        <x:v>수정 없음</x:v>
      </x:c>
      <x:c r="L396" s="73" t="str"/>
      <x:c r="M396" s="73" t="str"/>
      <x:c r="N396" s="73" t="str"/>
      <x:c r="O396" s="73" t="str">
        <x:v>기대 결과와 일치</x:v>
      </x:c>
      <x:c r="P396" s="73" t="str">
        <x:v>01-smoke-all-pages.log, 02-smoke-interactions.log, 03-smoke-inputs-ko.log, 04-smoke-inputs-en.log</x:v>
      </x:c>
    </x:row>
    <x:row r="397">
      <x:c r="A397" s="80" t="n">
        <x:v>393</x:v>
      </x:c>
      <x:c r="B397" s="81" t="str">
        <x:v>ROLE-001</x:v>
      </x:c>
      <x:c r="C397" s="73" t="str">
        <x:v>7.25 역할 및 기능 권한</x:v>
      </x:c>
      <x:c r="D397" s="81" t="str">
        <x:v>P0</x:v>
      </x:c>
      <x:c r="E397" s="73" t="str"/>
      <x:c r="F397" s="73" t="str">
        <x:v>dashboard/settings/roles.html</x:v>
      </x:c>
      <x:c r="G397" s="73" t="str">
        <x:v>역할 목록/선택</x:v>
      </x:c>
      <x:c r="H397" s="73" t="str">
        <x:v>역할별 메뉴·기능 권한 현재값 정확</x:v>
      </x:c>
      <x:c r="I397" s="81" t="str">
        <x:v>PASS</x:v>
      </x:c>
      <x:c r="J397" s="81" t="str">
        <x:v>성공</x:v>
      </x:c>
      <x:c r="K397" s="81" t="str">
        <x:v>수정 없음</x:v>
      </x:c>
      <x:c r="L397" s="73" t="str"/>
      <x:c r="M397" s="73" t="str"/>
      <x:c r="N397" s="73" t="str"/>
      <x:c r="O397" s="73" t="str">
        <x:v>기대 결과와 일치</x:v>
      </x:c>
      <x:c r="P397" s="73" t="str">
        <x:v>01-smoke-all-pages.log, 02-smoke-interactions.log, 03-smoke-inputs-ko.log, 04-smoke-inputs-en.log</x:v>
      </x:c>
    </x:row>
    <x:row r="398">
      <x:c r="A398" s="80" t="n">
        <x:v>394</x:v>
      </x:c>
      <x:c r="B398" s="81" t="str">
        <x:v>ROLE-002</x:v>
      </x:c>
      <x:c r="C398" s="73" t="str">
        <x:v>7.25 역할 및 기능 권한</x:v>
      </x:c>
      <x:c r="D398" s="81" t="str">
        <x:v>P0</x:v>
      </x:c>
      <x:c r="E398" s="73" t="str"/>
      <x:c r="F398" s="73" t="str">
        <x:v>dashboard/settings/roles.html</x:v>
      </x:c>
      <x:c r="G398" s="73" t="str">
        <x:v>역할 신규 생성</x:v>
      </x:c>
      <x:c r="H398" s="73" t="str">
        <x:v>이름 중복 검증 후 기본 권한으로 생성</x:v>
      </x:c>
      <x:c r="I398" s="81" t="str">
        <x:v>PASS</x:v>
      </x:c>
      <x:c r="J398" s="81" t="str">
        <x:v>성공</x:v>
      </x:c>
      <x:c r="K398" s="81" t="str">
        <x:v>수정 없음</x:v>
      </x:c>
      <x:c r="L398" s="73" t="str"/>
      <x:c r="M398" s="73" t="str"/>
      <x:c r="N398" s="73" t="str"/>
      <x:c r="O398" s="73" t="str">
        <x:v>기대 결과와 일치</x:v>
      </x:c>
      <x:c r="P398" s="73" t="str">
        <x:v>02-smoke-interactions.log, 03-smoke-inputs-ko.log, 04-smoke-inputs-en.log, 14-storage-writes.log</x:v>
      </x:c>
    </x:row>
    <x:row r="399">
      <x:c r="A399" s="80" t="n">
        <x:v>395</x:v>
      </x:c>
      <x:c r="B399" s="81" t="str">
        <x:v>ROLE-003</x:v>
      </x:c>
      <x:c r="C399" s="73" t="str">
        <x:v>7.25 역할 및 기능 권한</x:v>
      </x:c>
      <x:c r="D399" s="81" t="str">
        <x:v>P0</x:v>
      </x:c>
      <x:c r="E399" s="73" t="str"/>
      <x:c r="F399" s="73" t="str">
        <x:v>dashboard/settings/roles.html</x:v>
      </x:c>
      <x:c r="G399" s="73" t="str">
        <x:v>메뉴 권한 저장</x:v>
      </x:c>
      <x:c r="H399" s="73" t="str">
        <x:v>사이드바와 직접 URL 접근이 동시에 제어</x:v>
      </x:c>
      <x:c r="I399" s="81" t="str">
        <x:v>PASS</x:v>
      </x:c>
      <x:c r="J399" s="81" t="str">
        <x:v>성공</x:v>
      </x:c>
      <x:c r="K399" s="81" t="str">
        <x:v>수정 없음</x:v>
      </x:c>
      <x:c r="L399" s="73" t="str"/>
      <x:c r="M399" s="73" t="str"/>
      <x:c r="N399" s="73" t="str"/>
      <x:c r="O399" s="73" t="str">
        <x:v>기대 결과와 일치</x:v>
      </x:c>
      <x:c r="P399" s="73" t="str">
        <x:v>02-smoke-interactions.log, 03-smoke-inputs-ko.log, 04-smoke-inputs-en.log, 14-storage-writes.log</x:v>
      </x:c>
    </x:row>
    <x:row r="400">
      <x:c r="A400" s="80" t="n">
        <x:v>396</x:v>
      </x:c>
      <x:c r="B400" s="81" t="str">
        <x:v>ROLE-004</x:v>
      </x:c>
      <x:c r="C400" s="73" t="str">
        <x:v>7.25 역할 및 기능 권한</x:v>
      </x:c>
      <x:c r="D400" s="81" t="str">
        <x:v>P0</x:v>
      </x:c>
      <x:c r="E400" s="73" t="str"/>
      <x:c r="F400" s="73" t="str">
        <x:v>dashboard/settings/roles.html</x:v>
      </x:c>
      <x:c r="G400" s="73" t="str">
        <x:v>하위 메뉴만 허용</x:v>
      </x:c>
      <x:c r="H400" s="73" t="str">
        <x:v>상위 그룹은 표시되며 허용 화면만 접근</x:v>
      </x:c>
      <x:c r="I400" s="81" t="str">
        <x:v>PASS</x:v>
      </x:c>
      <x:c r="J400" s="81" t="str">
        <x:v>성공</x:v>
      </x:c>
      <x:c r="K400" s="81" t="str">
        <x:v>수정 없음</x:v>
      </x:c>
      <x:c r="L400" s="73" t="str"/>
      <x:c r="M400" s="73" t="str"/>
      <x:c r="N400" s="73" t="str"/>
      <x:c r="O400" s="73" t="str">
        <x:v>기대 결과와 일치</x:v>
      </x:c>
      <x:c r="P400" s="73" t="str">
        <x:v>01-smoke-all-pages.log, 02-smoke-interactions.log, 03-smoke-inputs-ko.log, 04-smoke-inputs-en.log</x:v>
      </x:c>
    </x:row>
    <x:row r="401">
      <x:c r="A401" s="80" t="n">
        <x:v>397</x:v>
      </x:c>
      <x:c r="B401" s="81" t="str">
        <x:v>ROLE-005</x:v>
      </x:c>
      <x:c r="C401" s="73" t="str">
        <x:v>7.25 역할 및 기능 권한</x:v>
      </x:c>
      <x:c r="D401" s="81" t="str">
        <x:v>P0</x:v>
      </x:c>
      <x:c r="E401" s="73" t="str"/>
      <x:c r="F401" s="73" t="str">
        <x:v>dashboard/settings/roles.html</x:v>
      </x:c>
      <x:c r="G401" s="73" t="str">
        <x:v>정산 미완료 전환 권한</x:v>
      </x:c>
      <x:c r="H401" s="73" t="str">
        <x:v>허용자만 상세 버튼과 API 사용 가능</x:v>
      </x:c>
      <x:c r="I401" s="81" t="str">
        <x:v>PASS</x:v>
      </x:c>
      <x:c r="J401" s="81" t="str">
        <x:v>성공</x:v>
      </x:c>
      <x:c r="K401" s="81" t="str">
        <x:v>수정 없음</x:v>
      </x:c>
      <x:c r="L401" s="73" t="str"/>
      <x:c r="M401" s="73" t="str"/>
      <x:c r="N401" s="73" t="str"/>
      <x:c r="O401" s="73" t="str">
        <x:v>기대 결과와 일치</x:v>
      </x:c>
      <x:c r="P401" s="73" t="str">
        <x:v>02-smoke-interactions.log, 03-smoke-inputs-ko.log, 04-smoke-inputs-en.log, 14-storage-writes.log</x:v>
      </x:c>
    </x:row>
    <x:row r="402">
      <x:c r="A402" s="80" t="n">
        <x:v>398</x:v>
      </x:c>
      <x:c r="B402" s="81" t="str">
        <x:v>ROLE-006</x:v>
      </x:c>
      <x:c r="C402" s="73" t="str">
        <x:v>7.25 역할 및 기능 권한</x:v>
      </x:c>
      <x:c r="D402" s="81" t="str">
        <x:v>P0</x:v>
      </x:c>
      <x:c r="E402" s="73" t="str"/>
      <x:c r="F402" s="73" t="str">
        <x:v>dashboard/settings/roles.html</x:v>
      </x:c>
      <x:c r="G402" s="73" t="str">
        <x:v>부가서비스 미완료 전환 권한</x:v>
      </x:c>
      <x:c r="H402" s="73" t="str">
        <x:v>허용자만 상세 버튼과 API 사용 가능</x:v>
      </x:c>
      <x:c r="I402" s="81" t="str">
        <x:v>PASS</x:v>
      </x:c>
      <x:c r="J402" s="81" t="str">
        <x:v>성공</x:v>
      </x:c>
      <x:c r="K402" s="81" t="str">
        <x:v>수정 없음</x:v>
      </x:c>
      <x:c r="L402" s="73" t="str"/>
      <x:c r="M402" s="73" t="str"/>
      <x:c r="N402" s="73" t="str"/>
      <x:c r="O402" s="73" t="str">
        <x:v>기대 결과와 일치</x:v>
      </x:c>
      <x:c r="P402" s="73" t="str">
        <x:v>02-smoke-interactions.log, 03-smoke-inputs-ko.log, 04-smoke-inputs-en.log, 14-storage-writes.log</x:v>
      </x:c>
    </x:row>
    <x:row r="403">
      <x:c r="A403" s="80" t="n">
        <x:v>399</x:v>
      </x:c>
      <x:c r="B403" s="81" t="str">
        <x:v>ROLE-007</x:v>
      </x:c>
      <x:c r="C403" s="73" t="str">
        <x:v>7.25 역할 및 기능 권한</x:v>
      </x:c>
      <x:c r="D403" s="81" t="str">
        <x:v>P0</x:v>
      </x:c>
      <x:c r="E403" s="73" t="str"/>
      <x:c r="F403" s="73" t="str">
        <x:v>dashboard/settings/roles.html</x:v>
      </x:c>
      <x:c r="G403" s="73" t="str">
        <x:v>직원/권한 관리 권한</x:v>
      </x:c>
      <x:c r="H403" s="73" t="str">
        <x:v>미허용 사용자는 계정·권한 수정 불가</x:v>
      </x:c>
      <x:c r="I403" s="81" t="str">
        <x:v>PASS</x:v>
      </x:c>
      <x:c r="J403" s="81" t="str">
        <x:v>성공</x:v>
      </x:c>
      <x:c r="K403" s="81" t="str">
        <x:v>수정 없음</x:v>
      </x:c>
      <x:c r="L403" s="73" t="str"/>
      <x:c r="M403" s="73" t="str"/>
      <x:c r="N403" s="73" t="str"/>
      <x:c r="O403" s="73" t="str">
        <x:v>기대 결과와 일치</x:v>
      </x:c>
      <x:c r="P403" s="73" t="str">
        <x:v>02-smoke-interactions.log, 03-smoke-inputs-ko.log, 04-smoke-inputs-en.log, 14-storage-writes.log</x:v>
      </x:c>
    </x:row>
    <x:row r="404">
      <x:c r="A404" s="80" t="n">
        <x:v>400</x:v>
      </x:c>
      <x:c r="B404" s="81" t="str">
        <x:v>ROLE-008</x:v>
      </x:c>
      <x:c r="C404" s="73" t="str">
        <x:v>7.25 역할 및 기능 권한</x:v>
      </x:c>
      <x:c r="D404" s="81" t="str">
        <x:v>P0</x:v>
      </x:c>
      <x:c r="E404" s="73" t="str"/>
      <x:c r="F404" s="73" t="str">
        <x:v>dashboard/settings/roles.html</x:v>
      </x:c>
      <x:c r="G404" s="73" t="str">
        <x:v>역할 권한 변경 후 재로그인</x:v>
      </x:c>
      <x:c r="H404" s="73" t="str">
        <x:v>권한 캐시가 갱신되고 이전 권한이 남지 않음</x:v>
      </x:c>
      <x:c r="I404" s="81" t="str">
        <x:v>PASS</x:v>
      </x:c>
      <x:c r="J404" s="81" t="str">
        <x:v>성공</x:v>
      </x:c>
      <x:c r="K404" s="81" t="str">
        <x:v>수정 없음</x:v>
      </x:c>
      <x:c r="L404" s="73" t="str"/>
      <x:c r="M404" s="73" t="str"/>
      <x:c r="N404" s="73" t="str"/>
      <x:c r="O404" s="73" t="str">
        <x:v>기대 결과와 일치</x:v>
      </x:c>
      <x:c r="P404" s="73" t="str">
        <x:v>02-smoke-interactions.log, 03-smoke-inputs-ko.log, 04-smoke-inputs-en.log, 14-storage-writes.log</x:v>
      </x:c>
    </x:row>
    <x:row r="405">
      <x:c r="A405" s="80" t="n">
        <x:v>401</x:v>
      </x:c>
      <x:c r="B405" s="81" t="str">
        <x:v>ROLE-009</x:v>
      </x:c>
      <x:c r="C405" s="73" t="str">
        <x:v>7.25 역할 및 기능 권한</x:v>
      </x:c>
      <x:c r="D405" s="81" t="str">
        <x:v>P0</x:v>
      </x:c>
      <x:c r="E405" s="73" t="str"/>
      <x:c r="F405" s="73" t="str">
        <x:v>dashboard/settings/roles.html</x:v>
      </x:c>
      <x:c r="G405" s="73" t="str">
        <x:v>자기 역할 하향 변경</x:v>
      </x:c>
      <x:c r="H405" s="73" t="str">
        <x:v>관리자 잠금 방지 정책 또는 명확한 경고</x:v>
      </x:c>
      <x:c r="I405" s="81" t="str">
        <x:v>PASS</x:v>
      </x:c>
      <x:c r="J405" s="81" t="str">
        <x:v>성공</x:v>
      </x:c>
      <x:c r="K405" s="81" t="str">
        <x:v>수정 없음</x:v>
      </x:c>
      <x:c r="L405" s="73" t="str"/>
      <x:c r="M405" s="73" t="str"/>
      <x:c r="N405" s="73" t="str"/>
      <x:c r="O405" s="73" t="str">
        <x:v>기대 결과와 일치</x:v>
      </x:c>
      <x:c r="P405" s="73" t="str">
        <x:v>02-smoke-interactions.log, 03-smoke-inputs-ko.log, 04-smoke-inputs-en.log, 14-storage-writes.log</x:v>
      </x:c>
    </x:row>
    <x:row r="406">
      <x:c r="A406" s="80" t="n">
        <x:v>402</x:v>
      </x:c>
      <x:c r="B406" s="81" t="str">
        <x:v>ROLE-010</x:v>
      </x:c>
      <x:c r="C406" s="73" t="str">
        <x:v>7.25 역할 및 기능 권한</x:v>
      </x:c>
      <x:c r="D406" s="81" t="str">
        <x:v>P0</x:v>
      </x:c>
      <x:c r="E406" s="73" t="str"/>
      <x:c r="F406" s="73" t="str">
        <x:v>dashboard/settings/roles.html</x:v>
      </x:c>
      <x:c r="G406" s="73" t="str">
        <x:v>최종 관리자 권한 제거</x:v>
      </x:c>
      <x:c r="H406" s="73" t="str">
        <x:v>시스템 관리자 부재 상태 차단</x:v>
      </x:c>
      <x:c r="I406" s="81" t="str">
        <x:v>PASS</x:v>
      </x:c>
      <x:c r="J406" s="81" t="str">
        <x:v>성공</x:v>
      </x:c>
      <x:c r="K406" s="81" t="str">
        <x:v>수정 없음</x:v>
      </x:c>
      <x:c r="L406" s="73" t="str"/>
      <x:c r="M406" s="73" t="str"/>
      <x:c r="N406" s="73" t="str"/>
      <x:c r="O406" s="73" t="str">
        <x:v>기대 결과와 일치</x:v>
      </x:c>
      <x:c r="P406" s="73" t="str">
        <x:v>19-hotel-direct-full.json: {"systemRoleVisible":true,"protected":true,"protectionGuidance":true}</x:v>
      </x:c>
    </x:row>
    <x:row r="407">
      <x:c r="A407" s="80" t="n">
        <x:v>403</x:v>
      </x:c>
      <x:c r="B407" s="81" t="str">
        <x:v>ROLE-011</x:v>
      </x:c>
      <x:c r="C407" s="73" t="str">
        <x:v>7.25 역할 및 기능 권한</x:v>
      </x:c>
      <x:c r="D407" s="81" t="str">
        <x:v>P1</x:v>
      </x:c>
      <x:c r="E407" s="73" t="str"/>
      <x:c r="F407" s="73" t="str">
        <x:v>dashboard/settings/roles.html</x:v>
      </x:c>
      <x:c r="G407" s="73" t="str">
        <x:v>전체 선택/해제</x:v>
      </x:c>
      <x:c r="H407" s="73" t="str">
        <x:v>의도한 범위만 변경, 저장 전 상태 확인 가능</x:v>
      </x:c>
      <x:c r="I407" s="81" t="str">
        <x:v>PASS</x:v>
      </x:c>
      <x:c r="J407" s="81" t="str">
        <x:v>성공</x:v>
      </x:c>
      <x:c r="K407" s="81" t="str">
        <x:v>수정 없음</x:v>
      </x:c>
      <x:c r="L407" s="73" t="str"/>
      <x:c r="M407" s="73" t="str"/>
      <x:c r="N407" s="73" t="str"/>
      <x:c r="O407" s="73" t="str">
        <x:v>기대 결과와 일치</x:v>
      </x:c>
      <x:c r="P407" s="73" t="str">
        <x:v>02-smoke-interactions.log, 03-smoke-inputs-ko.log, 04-smoke-inputs-en.log, 14-storage-writes.log</x:v>
      </x:c>
    </x:row>
    <x:row r="408">
      <x:c r="A408" s="80" t="n">
        <x:v>404</x:v>
      </x:c>
      <x:c r="B408" s="81" t="str">
        <x:v>ROLE-012</x:v>
      </x:c>
      <x:c r="C408" s="73" t="str">
        <x:v>7.25 역할 및 기능 권한</x:v>
      </x:c>
      <x:c r="D408" s="81" t="str">
        <x:v>P1</x:v>
      </x:c>
      <x:c r="E408" s="73" t="str"/>
      <x:c r="F408" s="73" t="str">
        <x:v>dashboard/settings/roles.html</x:v>
      </x:c>
      <x:c r="G408" s="73" t="str">
        <x:v>저장 실패</x:v>
      </x:c>
      <x:c r="H408" s="73" t="str">
        <x:v>체크 상태 롤백 또는 미저장 표시</x:v>
      </x:c>
      <x:c r="I408" s="81" t="str">
        <x:v>PASS</x:v>
      </x:c>
      <x:c r="J408" s="81" t="str">
        <x:v>성공</x:v>
      </x:c>
      <x:c r="K408" s="81" t="str">
        <x:v>수정 없음</x:v>
      </x:c>
      <x:c r="L408" s="73" t="str"/>
      <x:c r="M408" s="73" t="str"/>
      <x:c r="N408" s="73" t="str"/>
      <x:c r="O408" s="73" t="str">
        <x:v>기대 결과와 일치</x:v>
      </x:c>
      <x:c r="P408" s="73" t="str">
        <x:v>02-smoke-interactions.log, 03-smoke-inputs-ko.log, 04-smoke-inputs-en.log, 14-storage-writes.log</x:v>
      </x:c>
    </x:row>
    <x:row r="409">
      <x:c r="A409" s="80" t="n">
        <x:v>405</x:v>
      </x:c>
      <x:c r="B409" s="81" t="str">
        <x:v>ROLE-013</x:v>
      </x:c>
      <x:c r="C409" s="73" t="str">
        <x:v>7.25 역할 및 기능 권한</x:v>
      </x:c>
      <x:c r="D409" s="81" t="str">
        <x:v>P1</x:v>
      </x:c>
      <x:c r="E409" s="73" t="str"/>
      <x:c r="F409" s="73" t="str">
        <x:v>dashboard/settings/roles.html</x:v>
      </x:c>
      <x:c r="G409" s="73" t="str">
        <x:v>역할 삭제</x:v>
      </x:c>
      <x:c r="H409" s="73" t="str">
        <x:v>사용 중 역할 삭제 차단/대체 역할 요구</x:v>
      </x:c>
      <x:c r="I409" s="81" t="str">
        <x:v>PASS</x:v>
      </x:c>
      <x:c r="J409" s="81" t="str">
        <x:v>성공</x:v>
      </x:c>
      <x:c r="K409" s="81" t="str">
        <x:v>수정 없음</x:v>
      </x:c>
      <x:c r="L409" s="73" t="str"/>
      <x:c r="M409" s="73" t="str"/>
      <x:c r="N409" s="73" t="str"/>
      <x:c r="O409" s="73" t="str">
        <x:v>기대 결과와 일치</x:v>
      </x:c>
      <x:c r="P409" s="73" t="str">
        <x:v>02-smoke-interactions.log, 03-smoke-inputs-ko.log, 04-smoke-inputs-en.log, 14-storage-writes.log</x:v>
      </x:c>
    </x:row>
    <x:row r="410">
      <x:c r="A410" s="80" t="n">
        <x:v>406</x:v>
      </x:c>
      <x:c r="B410" s="81" t="str">
        <x:v>ROLE-014</x:v>
      </x:c>
      <x:c r="C410" s="73" t="str">
        <x:v>7.25 역할 및 기능 권한</x:v>
      </x:c>
      <x:c r="D410" s="81" t="str">
        <x:v>P1</x:v>
      </x:c>
      <x:c r="E410" s="73" t="str"/>
      <x:c r="F410" s="73" t="str">
        <x:v>dashboard/settings/roles.html</x:v>
      </x:c>
      <x:c r="G410" s="73" t="str">
        <x:v>KO/EN/모바일</x:v>
      </x:c>
      <x:c r="H410" s="73" t="str">
        <x:v>권한명이 모두 번역되고 긴 항목도 겹치지 않음</x:v>
      </x:c>
      <x:c r="I410" s="81" t="str">
        <x:v>PASS</x:v>
      </x:c>
      <x:c r="J410" s="81" t="str">
        <x:v>성공</x:v>
      </x:c>
      <x:c r="K410" s="81" t="str">
        <x:v>수정 없음</x:v>
      </x:c>
      <x:c r="L410" s="73" t="str"/>
      <x:c r="M410" s="73" t="str"/>
      <x:c r="N410" s="73" t="str"/>
      <x:c r="O410" s="73" t="str">
        <x:v>기대 결과와 일치</x:v>
      </x:c>
      <x:c r="P410" s="73" t="str">
        <x:v>01-smoke-all-pages.log, 02-smoke-interactions.log, 03-smoke-inputs-ko.log, 04-smoke-inputs-en.log</x:v>
      </x:c>
    </x:row>
    <x:row r="411">
      <x:c r="A411" s="80" t="n">
        <x:v>407</x:v>
      </x:c>
      <x:c r="B411" s="81" t="str">
        <x:v>LOG-001</x:v>
      </x:c>
      <x:c r="C411" s="73" t="str">
        <x:v>7.26 운영 감사 로그</x:v>
      </x:c>
      <x:c r="D411" s="81" t="str">
        <x:v>P0</x:v>
      </x:c>
      <x:c r="E411" s="73" t="str"/>
      <x:c r="F411" s="73" t="str">
        <x:v>dashboard/settings/audit-logs.html</x:v>
      </x:c>
      <x:c r="G411" s="73" t="str">
        <x:v>예약 등록/수정/취소/객실 이동</x:v>
      </x:c>
      <x:c r="H411" s="73" t="str">
        <x:v>화면명·동작·대상·변경 전후·처리자 기록</x:v>
      </x:c>
      <x:c r="I411" s="81" t="str">
        <x:v>PASS</x:v>
      </x:c>
      <x:c r="J411" s="81" t="str">
        <x:v>성공</x:v>
      </x:c>
      <x:c r="K411" s="81" t="str">
        <x:v>수정 없음</x:v>
      </x:c>
      <x:c r="L411" s="73" t="str"/>
      <x:c r="M411" s="73" t="str"/>
      <x:c r="N411" s="73" t="str"/>
      <x:c r="O411" s="73" t="str">
        <x:v>기대 결과와 일치</x:v>
      </x:c>
      <x:c r="P411" s="73" t="str">
        <x:v>02-smoke-interactions.log, 03-smoke-inputs-ko.log, 04-smoke-inputs-en.log, 14-storage-writes.log</x:v>
      </x:c>
    </x:row>
    <x:row r="412">
      <x:c r="A412" s="80" t="n">
        <x:v>408</x:v>
      </x:c>
      <x:c r="B412" s="81" t="str">
        <x:v>LOG-002</x:v>
      </x:c>
      <x:c r="C412" s="73" t="str">
        <x:v>7.26 운영 감사 로그</x:v>
      </x:c>
      <x:c r="D412" s="81" t="str">
        <x:v>P0</x:v>
      </x:c>
      <x:c r="E412" s="73" t="str"/>
      <x:c r="F412" s="73" t="str">
        <x:v>dashboard/settings/audit-logs.html</x:v>
      </x:c>
      <x:c r="G412" s="73" t="str">
        <x:v>정산 완료 후 미완료 전환</x:v>
      </x:c>
      <x:c r="H412" s="73" t="str">
        <x:v>Folio/객실/금액/상태 변경이 1건 기록</x:v>
      </x:c>
      <x:c r="I412" s="81" t="str">
        <x:v>PASS</x:v>
      </x:c>
      <x:c r="J412" s="81" t="str">
        <x:v>성공</x:v>
      </x:c>
      <x:c r="K412" s="81" t="str">
        <x:v>수정 없음</x:v>
      </x:c>
      <x:c r="L412" s="73" t="str"/>
      <x:c r="M412" s="73" t="str"/>
      <x:c r="N412" s="73" t="str"/>
      <x:c r="O412" s="73" t="str">
        <x:v>기대 결과와 일치</x:v>
      </x:c>
      <x:c r="P412" s="73" t="str">
        <x:v>02-smoke-interactions.log, 03-smoke-inputs-ko.log, 04-smoke-inputs-en.log, 14-storage-writes.log</x:v>
      </x:c>
    </x:row>
    <x:row r="413">
      <x:c r="A413" s="80" t="n">
        <x:v>409</x:v>
      </x:c>
      <x:c r="B413" s="81" t="str">
        <x:v>LOG-003</x:v>
      </x:c>
      <x:c r="C413" s="73" t="str">
        <x:v>7.26 운영 감사 로그</x:v>
      </x:c>
      <x:c r="D413" s="81" t="str">
        <x:v>P0</x:v>
      </x:c>
      <x:c r="E413" s="73" t="str"/>
      <x:c r="F413" s="73" t="str">
        <x:v>dashboard/settings/audit-logs.html</x:v>
      </x:c>
      <x:c r="G413" s="73" t="str">
        <x:v>부가서비스 완료 후 미완료 전환</x:v>
      </x:c>
      <x:c r="H413" s="73" t="str">
        <x:v>주문/객실/서비스/금액/상태 변경이 1건 기록</x:v>
      </x:c>
      <x:c r="I413" s="81" t="str">
        <x:v>PASS</x:v>
      </x:c>
      <x:c r="J413" s="81" t="str">
        <x:v>성공</x:v>
      </x:c>
      <x:c r="K413" s="81" t="str">
        <x:v>수정 없음</x:v>
      </x:c>
      <x:c r="L413" s="73" t="str"/>
      <x:c r="M413" s="73" t="str"/>
      <x:c r="N413" s="73" t="str"/>
      <x:c r="O413" s="73" t="str">
        <x:v>기대 결과와 일치</x:v>
      </x:c>
      <x:c r="P413" s="73" t="str">
        <x:v>02-smoke-interactions.log, 03-smoke-inputs-ko.log, 04-smoke-inputs-en.log, 14-storage-writes.log</x:v>
      </x:c>
    </x:row>
    <x:row r="414">
      <x:c r="A414" s="80" t="n">
        <x:v>410</x:v>
      </x:c>
      <x:c r="B414" s="81" t="str">
        <x:v>LOG-004</x:v>
      </x:c>
      <x:c r="C414" s="73" t="str">
        <x:v>7.26 운영 감사 로그</x:v>
      </x:c>
      <x:c r="D414" s="81" t="str">
        <x:v>P0</x:v>
      </x:c>
      <x:c r="E414" s="73" t="str"/>
      <x:c r="F414" s="73" t="str">
        <x:v>dashboard/settings/audit-logs.html</x:v>
      </x:c>
      <x:c r="G414" s="73" t="str">
        <x:v>고객정보 열람/블랙리스트 변경</x:v>
      </x:c>
      <x:c r="H414" s="73" t="str">
        <x:v>개인정보 열람 및 민감 변경 이력 기록</x:v>
      </x:c>
      <x:c r="I414" s="81" t="str">
        <x:v>PASS</x:v>
      </x:c>
      <x:c r="J414" s="81" t="str">
        <x:v>성공</x:v>
      </x:c>
      <x:c r="K414" s="81" t="str">
        <x:v>수정 없음</x:v>
      </x:c>
      <x:c r="L414" s="73" t="str"/>
      <x:c r="M414" s="73" t="str"/>
      <x:c r="N414" s="73" t="str"/>
      <x:c r="O414" s="73" t="str">
        <x:v>기대 결과와 일치</x:v>
      </x:c>
      <x:c r="P414" s="73" t="str">
        <x:v>02-smoke-interactions.log, 03-smoke-inputs-ko.log, 04-smoke-inputs-en.log, 14-storage-writes.log</x:v>
      </x:c>
    </x:row>
    <x:row r="415">
      <x:c r="A415" s="80" t="n">
        <x:v>411</x:v>
      </x:c>
      <x:c r="B415" s="81" t="str">
        <x:v>LOG-005</x:v>
      </x:c>
      <x:c r="C415" s="73" t="str">
        <x:v>7.26 운영 감사 로그</x:v>
      </x:c>
      <x:c r="D415" s="81" t="str">
        <x:v>P0</x:v>
      </x:c>
      <x:c r="E415" s="73" t="str"/>
      <x:c r="F415" s="73" t="str">
        <x:v>dashboard/settings/audit-logs.html</x:v>
      </x:c>
      <x:c r="G415" s="73" t="str">
        <x:v>직원/역할/상태 변경</x:v>
      </x:c>
      <x:c r="H415" s="73" t="str">
        <x:v>계정과 권한 변경 주체·전후값 기록</x:v>
      </x:c>
      <x:c r="I415" s="81" t="str">
        <x:v>PASS</x:v>
      </x:c>
      <x:c r="J415" s="81" t="str">
        <x:v>성공</x:v>
      </x:c>
      <x:c r="K415" s="81" t="str">
        <x:v>수정 없음</x:v>
      </x:c>
      <x:c r="L415" s="73" t="str"/>
      <x:c r="M415" s="73" t="str"/>
      <x:c r="N415" s="73" t="str"/>
      <x:c r="O415" s="73" t="str">
        <x:v>기대 결과와 일치</x:v>
      </x:c>
      <x:c r="P415" s="73" t="str">
        <x:v>02-smoke-interactions.log, 03-smoke-inputs-ko.log, 04-smoke-inputs-en.log, 14-storage-writes.log</x:v>
      </x:c>
    </x:row>
    <x:row r="416">
      <x:c r="A416" s="80" t="n">
        <x:v>412</x:v>
      </x:c>
      <x:c r="B416" s="81" t="str">
        <x:v>LOG-006</x:v>
      </x:c>
      <x:c r="C416" s="73" t="str">
        <x:v>7.26 운영 감사 로그</x:v>
      </x:c>
      <x:c r="D416" s="81" t="str">
        <x:v>P0</x:v>
      </x:c>
      <x:c r="E416" s="73" t="str"/>
      <x:c r="F416" s="73" t="str">
        <x:v>dashboard/settings/audit-logs.html</x:v>
      </x:c>
      <x:c r="G416" s="73" t="str">
        <x:v>메뉴 화면명 표시</x:v>
      </x:c>
      <x:c r="H416" s="73" t="str">
        <x:v>URL 경로가 아닌 현재 언어 메뉴명으로 표시</x:v>
      </x:c>
      <x:c r="I416" s="81" t="str">
        <x:v>PASS</x:v>
      </x:c>
      <x:c r="J416" s="81" t="str">
        <x:v>성공</x:v>
      </x:c>
      <x:c r="K416" s="81" t="str">
        <x:v>수정 없음</x:v>
      </x:c>
      <x:c r="L416" s="73" t="str"/>
      <x:c r="M416" s="73" t="str"/>
      <x:c r="N416" s="73" t="str"/>
      <x:c r="O416" s="73" t="str">
        <x:v>기대 결과와 일치</x:v>
      </x:c>
      <x:c r="P416" s="73" t="str">
        <x:v>01-smoke-all-pages.log, 02-smoke-interactions.log, 03-smoke-inputs-ko.log, 04-smoke-inputs-en.log</x:v>
      </x:c>
    </x:row>
    <x:row r="417">
      <x:c r="A417" s="80" t="n">
        <x:v>413</x:v>
      </x:c>
      <x:c r="B417" s="81" t="str">
        <x:v>LOG-007</x:v>
      </x:c>
      <x:c r="C417" s="73" t="str">
        <x:v>7.26 운영 감사 로그</x:v>
      </x:c>
      <x:c r="D417" s="81" t="str">
        <x:v>P0</x:v>
      </x:c>
      <x:c r="E417" s="73" t="str"/>
      <x:c r="F417" s="73" t="str">
        <x:v>dashboard/settings/audit-logs.html</x:v>
      </x:c>
      <x:c r="G417" s="73" t="str">
        <x:v>새로고침 후 신규 로그</x:v>
      </x:c>
      <x:c r="H417" s="73" t="str">
        <x:v>저장된 로그가 시간 역순으로 즉시 조회</x:v>
      </x:c>
      <x:c r="I417" s="81" t="str">
        <x:v>PASS</x:v>
      </x:c>
      <x:c r="J417" s="81" t="str">
        <x:v>성공</x:v>
      </x:c>
      <x:c r="K417" s="81" t="str">
        <x:v>수정 없음</x:v>
      </x:c>
      <x:c r="L417" s="73" t="str"/>
      <x:c r="M417" s="73" t="str"/>
      <x:c r="N417" s="73" t="str"/>
      <x:c r="O417" s="73" t="str">
        <x:v>기대 결과와 일치</x:v>
      </x:c>
      <x:c r="P417" s="73" t="str">
        <x:v>02-smoke-interactions.log, 03-smoke-inputs-ko.log, 04-smoke-inputs-en.log, 14-storage-writes.log</x:v>
      </x:c>
    </x:row>
    <x:row r="418">
      <x:c r="A418" s="80" t="n">
        <x:v>414</x:v>
      </x:c>
      <x:c r="B418" s="81" t="str">
        <x:v>LOG-008</x:v>
      </x:c>
      <x:c r="C418" s="73" t="str">
        <x:v>7.26 운영 감사 로그</x:v>
      </x:c>
      <x:c r="D418" s="81" t="str">
        <x:v>P0</x:v>
      </x:c>
      <x:c r="E418" s="73" t="str"/>
      <x:c r="F418" s="73" t="str">
        <x:v>dashboard/settings/audit-logs.html</x:v>
      </x:c>
      <x:c r="G418" s="73" t="str">
        <x:v>중복 클릭/재시도</x:v>
      </x:c>
      <x:c r="H418" s="73" t="str">
        <x:v>동일 요청에 중복 로그가 생성되지 않음</x:v>
      </x:c>
      <x:c r="I418" s="81" t="str">
        <x:v>PASS</x:v>
      </x:c>
      <x:c r="J418" s="81" t="str">
        <x:v>성공</x:v>
      </x:c>
      <x:c r="K418" s="81" t="str">
        <x:v>수정 없음</x:v>
      </x:c>
      <x:c r="L418" s="73" t="str"/>
      <x:c r="M418" s="73" t="str"/>
      <x:c r="N418" s="73" t="str"/>
      <x:c r="O418" s="73" t="str">
        <x:v>기대 결과와 일치</x:v>
      </x:c>
      <x:c r="P418" s="73" t="str">
        <x:v>02-smoke-interactions.log, 03-smoke-inputs-ko.log, 04-smoke-inputs-en.log, 14-storage-writes.log</x:v>
      </x:c>
    </x:row>
    <x:row r="419">
      <x:c r="A419" s="80" t="n">
        <x:v>415</x:v>
      </x:c>
      <x:c r="B419" s="81" t="str">
        <x:v>LOG-009</x:v>
      </x:c>
      <x:c r="C419" s="73" t="str">
        <x:v>7.26 운영 감사 로그</x:v>
      </x:c>
      <x:c r="D419" s="81" t="str">
        <x:v>P1</x:v>
      </x:c>
      <x:c r="E419" s="73" t="str"/>
      <x:c r="F419" s="73" t="str">
        <x:v>dashboard/settings/audit-logs.html</x:v>
      </x:c>
      <x:c r="G419" s="73" t="str">
        <x:v>키워드/유형/기간/직원 필터</x:v>
      </x:c>
      <x:c r="H419" s="73" t="str">
        <x:v>표와 총건수/페이지 수 일치</x:v>
      </x:c>
      <x:c r="I419" s="81" t="str">
        <x:v>PASS</x:v>
      </x:c>
      <x:c r="J419" s="81" t="str">
        <x:v>성공</x:v>
      </x:c>
      <x:c r="K419" s="81" t="str">
        <x:v>수정 없음</x:v>
      </x:c>
      <x:c r="L419" s="73" t="str"/>
      <x:c r="M419" s="73" t="str"/>
      <x:c r="N419" s="73" t="str"/>
      <x:c r="O419" s="73" t="str">
        <x:v>기대 결과와 일치</x:v>
      </x:c>
      <x:c r="P419" s="73" t="str">
        <x:v>01-smoke-all-pages.log, 02-smoke-interactions.log, 03-smoke-inputs-ko.log, 04-smoke-inputs-en.log</x:v>
      </x:c>
    </x:row>
    <x:row r="420">
      <x:c r="A420" s="80" t="n">
        <x:v>416</x:v>
      </x:c>
      <x:c r="B420" s="81" t="str">
        <x:v>LOG-010</x:v>
      </x:c>
      <x:c r="C420" s="73" t="str">
        <x:v>7.26 운영 감사 로그</x:v>
      </x:c>
      <x:c r="D420" s="81" t="str">
        <x:v>P1</x:v>
      </x:c>
      <x:c r="E420" s="73" t="str"/>
      <x:c r="F420" s="73" t="str">
        <x:v>dashboard/settings/audit-logs.html</x:v>
      </x:c>
      <x:c r="G420" s="73" t="str">
        <x:v>모바일 풀다운 선택</x:v>
      </x:c>
      <x:c r="H420" s="73" t="str">
        <x:v>떨림·반복 개폐 없이 선택 유지</x:v>
      </x:c>
      <x:c r="I420" s="81" t="str">
        <x:v>PASS</x:v>
      </x:c>
      <x:c r="J420" s="81" t="str">
        <x:v>성공</x:v>
      </x:c>
      <x:c r="K420" s="81" t="str">
        <x:v>수정 없음</x:v>
      </x:c>
      <x:c r="L420" s="73" t="str"/>
      <x:c r="M420" s="73" t="str"/>
      <x:c r="N420" s="73" t="str"/>
      <x:c r="O420" s="73" t="str">
        <x:v>기대 결과와 일치</x:v>
      </x:c>
      <x:c r="P420" s="73" t="str">
        <x:v>01-smoke-all-pages.log, 02-smoke-interactions.log, 03-smoke-inputs-ko.log, 04-smoke-inputs-en.log</x:v>
      </x:c>
    </x:row>
    <x:row r="421">
      <x:c r="A421" s="80" t="n">
        <x:v>417</x:v>
      </x:c>
      <x:c r="B421" s="81" t="str">
        <x:v>LOG-011</x:v>
      </x:c>
      <x:c r="C421" s="73" t="str">
        <x:v>7.26 운영 감사 로그</x:v>
      </x:c>
      <x:c r="D421" s="81" t="str">
        <x:v>P1</x:v>
      </x:c>
      <x:c r="E421" s="73" t="str"/>
      <x:c r="F421" s="73" t="str">
        <x:v>dashboard/settings/audit-logs.html</x:v>
      </x:c>
      <x:c r="G421" s="73" t="str">
        <x:v>KO/EN 전환</x:v>
      </x:c>
      <x:c r="H421" s="73" t="str">
        <x:v>시스템 화면명/동작은 번역, 사용자 입력은 원문 유지</x:v>
      </x:c>
      <x:c r="I421" s="81" t="str">
        <x:v>PASS</x:v>
      </x:c>
      <x:c r="J421" s="81" t="str">
        <x:v>성공</x:v>
      </x:c>
      <x:c r="K421" s="81" t="str">
        <x:v>수정 없음</x:v>
      </x:c>
      <x:c r="L421" s="73" t="str"/>
      <x:c r="M421" s="73" t="str"/>
      <x:c r="N421" s="73" t="str"/>
      <x:c r="O421" s="73" t="str">
        <x:v>기대 결과와 일치</x:v>
      </x:c>
      <x:c r="P421" s="73" t="str">
        <x:v>02-smoke-interactions.log, 03-smoke-inputs-ko.log, 04-smoke-inputs-en.log, 14-storage-writes.log</x:v>
      </x:c>
    </x:row>
    <x:row r="422">
      <x:c r="A422" s="80" t="n">
        <x:v>418</x:v>
      </x:c>
      <x:c r="B422" s="81" t="str">
        <x:v>LOG-012</x:v>
      </x:c>
      <x:c r="C422" s="73" t="str">
        <x:v>7.26 운영 감사 로그</x:v>
      </x:c>
      <x:c r="D422" s="81" t="str">
        <x:v>P1</x:v>
      </x:c>
      <x:c r="E422" s="73" t="str"/>
      <x:c r="F422" s="73" t="str">
        <x:v>dashboard/settings/audit-logs.html</x:v>
      </x:c>
      <x:c r="G422" s="73" t="str">
        <x:v>Excel 다운로드</x:v>
      </x:c>
      <x:c r="H422" s="73" t="str">
        <x:v>현재 필터와 감사 필수 열 포함, 민감값 마스킹</x:v>
      </x:c>
      <x:c r="I422" s="81" t="str">
        <x:v>PASS</x:v>
      </x:c>
      <x:c r="J422" s="81" t="str">
        <x:v>성공</x:v>
      </x:c>
      <x:c r="K422" s="81" t="str">
        <x:v>수정 없음</x:v>
      </x:c>
      <x:c r="L422" s="73" t="str"/>
      <x:c r="M422" s="73" t="str"/>
      <x:c r="N422" s="73" t="str"/>
      <x:c r="O422" s="73" t="str">
        <x:v>기대 결과와 일치</x:v>
      </x:c>
      <x:c r="P422" s="73" t="str">
        <x:v>01-smoke-all-pages.log, 02-smoke-interactions.log, 03-smoke-inputs-ko.log, 04-smoke-inputs-en.log</x:v>
      </x:c>
    </x:row>
    <x:row r="423">
      <x:c r="A423" s="80" t="n">
        <x:v>419</x:v>
      </x:c>
      <x:c r="B423" s="81" t="str">
        <x:v>NOTICE-001</x:v>
      </x:c>
      <x:c r="C423" s="73" t="str">
        <x:v>7.27 공지사항 및 고객지원</x:v>
      </x:c>
      <x:c r="D423" s="81" t="str">
        <x:v>P0</x:v>
      </x:c>
      <x:c r="E423" s="73" t="str">
        <x:v>notices</x:v>
      </x:c>
      <x:c r="F423" s="73" t="str">
        <x:v>dashboard/settings/notices.html</x:v>
      </x:c>
      <x:c r="G423" s="73" t="str">
        <x:v>목록/상세 열기</x:v>
      </x:c>
      <x:c r="H423" s="73" t="str">
        <x:v>제목, 기간, 상태, 대상, 내용 일치</x:v>
      </x:c>
      <x:c r="I423" s="81" t="str">
        <x:v>PASS</x:v>
      </x:c>
      <x:c r="J423" s="81" t="str">
        <x:v>성공</x:v>
      </x:c>
      <x:c r="K423" s="81" t="str">
        <x:v>수정 없음</x:v>
      </x:c>
      <x:c r="L423" s="73" t="str"/>
      <x:c r="M423" s="73" t="str"/>
      <x:c r="N423" s="73" t="str"/>
      <x:c r="O423" s="73" t="str">
        <x:v>기대 결과와 일치</x:v>
      </x:c>
      <x:c r="P423" s="73" t="str">
        <x:v>01-smoke-all-pages.log, 02-smoke-interactions.log, 03-smoke-inputs-ko.log, 04-smoke-inputs-en.log</x:v>
      </x:c>
    </x:row>
    <x:row r="424">
      <x:c r="A424" s="80" t="n">
        <x:v>420</x:v>
      </x:c>
      <x:c r="B424" s="81" t="str">
        <x:v>NOTICE-002</x:v>
      </x:c>
      <x:c r="C424" s="73" t="str">
        <x:v>7.27 공지사항 및 고객지원</x:v>
      </x:c>
      <x:c r="D424" s="81" t="str">
        <x:v>P0</x:v>
      </x:c>
      <x:c r="E424" s="73" t="str">
        <x:v>notices</x:v>
      </x:c>
      <x:c r="F424" s="73" t="str">
        <x:v>dashboard/settings/notices.html</x:v>
      </x:c>
      <x:c r="G424" s="73" t="str">
        <x:v>공지 등록</x:v>
      </x:c>
      <x:c r="H424" s="73" t="str">
        <x:v>필수값/기간 검증 후 대상 사용자에게 노출</x:v>
      </x:c>
      <x:c r="I424" s="81" t="str">
        <x:v>PASS</x:v>
      </x:c>
      <x:c r="J424" s="81" t="str">
        <x:v>성공</x:v>
      </x:c>
      <x:c r="K424" s="81" t="str">
        <x:v>수정 없음</x:v>
      </x:c>
      <x:c r="L424" s="73" t="str"/>
      <x:c r="M424" s="73" t="str"/>
      <x:c r="N424" s="73" t="str"/>
      <x:c r="O424" s="73" t="str">
        <x:v>기대 결과와 일치</x:v>
      </x:c>
      <x:c r="P424" s="73" t="str">
        <x:v>02-smoke-interactions.log, 03-smoke-inputs-ko.log, 04-smoke-inputs-en.log, 14-storage-writes.log</x:v>
      </x:c>
    </x:row>
    <x:row r="425">
      <x:c r="A425" s="80" t="n">
        <x:v>421</x:v>
      </x:c>
      <x:c r="B425" s="81" t="str">
        <x:v>NOTICE-003</x:v>
      </x:c>
      <x:c r="C425" s="73" t="str">
        <x:v>7.27 공지사항 및 고객지원</x:v>
      </x:c>
      <x:c r="D425" s="81" t="str">
        <x:v>P0</x:v>
      </x:c>
      <x:c r="E425" s="73" t="str">
        <x:v>notices</x:v>
      </x:c>
      <x:c r="F425" s="73" t="str">
        <x:v>dashboard/settings/notices.html</x:v>
      </x:c>
      <x:c r="G425" s="73" t="str">
        <x:v>공지 수정</x:v>
      </x:c>
      <x:c r="H425" s="73" t="str">
        <x:v>목록/대시보드 알림에 즉시 반영</x:v>
      </x:c>
      <x:c r="I425" s="81" t="str">
        <x:v>PASS</x:v>
      </x:c>
      <x:c r="J425" s="81" t="str">
        <x:v>성공</x:v>
      </x:c>
      <x:c r="K425" s="81" t="str">
        <x:v>수정 없음</x:v>
      </x:c>
      <x:c r="L425" s="73" t="str"/>
      <x:c r="M425" s="73" t="str"/>
      <x:c r="N425" s="73" t="str"/>
      <x:c r="O425" s="73" t="str">
        <x:v>기대 결과와 일치</x:v>
      </x:c>
      <x:c r="P425" s="73" t="str">
        <x:v>02-smoke-interactions.log, 03-smoke-inputs-ko.log, 04-smoke-inputs-en.log, 14-storage-writes.log</x:v>
      </x:c>
    </x:row>
    <x:row r="426">
      <x:c r="A426" s="80" t="n">
        <x:v>422</x:v>
      </x:c>
      <x:c r="B426" s="81" t="str">
        <x:v>NOTICE-004</x:v>
      </x:c>
      <x:c r="C426" s="73" t="str">
        <x:v>7.27 공지사항 및 고객지원</x:v>
      </x:c>
      <x:c r="D426" s="81" t="str">
        <x:v>P0</x:v>
      </x:c>
      <x:c r="E426" s="73" t="str">
        <x:v>notices</x:v>
      </x:c>
      <x:c r="F426" s="73" t="str">
        <x:v>dashboard/settings/notices.html</x:v>
      </x:c>
      <x:c r="G426" s="73" t="str">
        <x:v>공지 삭제/종료</x:v>
      </x:c>
      <x:c r="H426" s="73" t="str">
        <x:v>확인 후 비노출, 감사 이력 유지</x:v>
      </x:c>
      <x:c r="I426" s="81" t="str">
        <x:v>PASS</x:v>
      </x:c>
      <x:c r="J426" s="81" t="str">
        <x:v>성공</x:v>
      </x:c>
      <x:c r="K426" s="81" t="str">
        <x:v>수정 없음</x:v>
      </x:c>
      <x:c r="L426" s="73" t="str"/>
      <x:c r="M426" s="73" t="str"/>
      <x:c r="N426" s="73" t="str"/>
      <x:c r="O426" s="73" t="str">
        <x:v>기대 결과와 일치</x:v>
      </x:c>
      <x:c r="P426" s="73" t="str">
        <x:v>02-smoke-interactions.log, 03-smoke-inputs-ko.log, 04-smoke-inputs-en.log, 14-storage-writes.log</x:v>
      </x:c>
    </x:row>
    <x:row r="427">
      <x:c r="A427" s="80" t="n">
        <x:v>423</x:v>
      </x:c>
      <x:c r="B427" s="81" t="str">
        <x:v>NOTICE-005</x:v>
      </x:c>
      <x:c r="C427" s="73" t="str">
        <x:v>7.27 공지사항 및 고객지원</x:v>
      </x:c>
      <x:c r="D427" s="81" t="str">
        <x:v>P1</x:v>
      </x:c>
      <x:c r="E427" s="73" t="str">
        <x:v>notices</x:v>
      </x:c>
      <x:c r="F427" s="73" t="str">
        <x:v>dashboard/settings/notices.html</x:v>
      </x:c>
      <x:c r="G427" s="73" t="str">
        <x:v>예약 게시/만료</x:v>
      </x:c>
      <x:c r="H427" s="73" t="str">
        <x:v>시작 전 비노출, 기간 중 노출, 만료 후 종료</x:v>
      </x:c>
      <x:c r="I427" s="81" t="str">
        <x:v>PASS</x:v>
      </x:c>
      <x:c r="J427" s="81" t="str">
        <x:v>성공</x:v>
      </x:c>
      <x:c r="K427" s="81" t="str">
        <x:v>수정 없음</x:v>
      </x:c>
      <x:c r="L427" s="73" t="str"/>
      <x:c r="M427" s="73" t="str"/>
      <x:c r="N427" s="73" t="str"/>
      <x:c r="O427" s="73" t="str">
        <x:v>기대 결과와 일치</x:v>
      </x:c>
      <x:c r="P427" s="73" t="str">
        <x:v>02-smoke-interactions.log, 03-smoke-inputs-ko.log, 04-smoke-inputs-en.log, 14-storage-writes.log</x:v>
      </x:c>
    </x:row>
    <x:row r="428">
      <x:c r="A428" s="80" t="n">
        <x:v>424</x:v>
      </x:c>
      <x:c r="B428" s="81" t="str">
        <x:v>NOTICE-006</x:v>
      </x:c>
      <x:c r="C428" s="73" t="str">
        <x:v>7.27 공지사항 및 고객지원</x:v>
      </x:c>
      <x:c r="D428" s="81" t="str">
        <x:v>P1</x:v>
      </x:c>
      <x:c r="E428" s="73" t="str">
        <x:v>notices</x:v>
      </x:c>
      <x:c r="F428" s="73" t="str">
        <x:v>dashboard/settings/notices.html</x:v>
      </x:c>
      <x:c r="G428" s="73" t="str">
        <x:v>첨부/링크</x:v>
      </x:c>
      <x:c r="H428" s="73" t="str">
        <x:v>안전하게 열리고 실패 시 안내</x:v>
      </x:c>
      <x:c r="I428" s="81" t="str">
        <x:v>PASS</x:v>
      </x:c>
      <x:c r="J428" s="81" t="str">
        <x:v>성공</x:v>
      </x:c>
      <x:c r="K428" s="81" t="str">
        <x:v>수정 없음</x:v>
      </x:c>
      <x:c r="L428" s="73" t="str"/>
      <x:c r="M428" s="73" t="str"/>
      <x:c r="N428" s="73" t="str"/>
      <x:c r="O428" s="73" t="str">
        <x:v>기대 결과와 일치</x:v>
      </x:c>
      <x:c r="P428" s="73" t="str">
        <x:v>19-hotel-direct-full.json: {"unsafeBlocked":true,"guidance":"첨부 또는 링크를 열지 못했습니다. 주소를 확인한 뒤 다시 시도해 주세요.","safeLink":true,"href":"support.html"}</x:v>
      </x:c>
    </x:row>
    <x:row r="429">
      <x:c r="A429" s="80" t="n">
        <x:v>425</x:v>
      </x:c>
      <x:c r="B429" s="81" t="str">
        <x:v>NOTICE-007</x:v>
      </x:c>
      <x:c r="C429" s="73" t="str">
        <x:v>7.27 공지사항 및 고객지원</x:v>
      </x:c>
      <x:c r="D429" s="81" t="str">
        <x:v>P1</x:v>
      </x:c>
      <x:c r="E429" s="73" t="str">
        <x:v>notices</x:v>
      </x:c>
      <x:c r="F429" s="73" t="str">
        <x:v>dashboard/settings/notices.html</x:v>
      </x:c>
      <x:c r="G429" s="73" t="str">
        <x:v>KO/EN 콘텐츠</x:v>
      </x:c>
      <x:c r="H429" s="73" t="str">
        <x:v>지정 언어 콘텐츠 또는 fallback 정책 적용</x:v>
      </x:c>
      <x:c r="I429" s="81" t="str">
        <x:v>PASS</x:v>
      </x:c>
      <x:c r="J429" s="81" t="str">
        <x:v>성공</x:v>
      </x:c>
      <x:c r="K429" s="81" t="str">
        <x:v>수정 없음</x:v>
      </x:c>
      <x:c r="L429" s="73" t="str"/>
      <x:c r="M429" s="73" t="str"/>
      <x:c r="N429" s="73" t="str"/>
      <x:c r="O429" s="73" t="str">
        <x:v>기대 결과와 일치</x:v>
      </x:c>
      <x:c r="P429" s="73" t="str">
        <x:v>02-smoke-interactions.log, 03-smoke-inputs-ko.log, 04-smoke-inputs-en.log, 14-storage-writes.log</x:v>
      </x:c>
    </x:row>
    <x:row r="430">
      <x:c r="A430" s="80" t="n">
        <x:v>426</x:v>
      </x:c>
      <x:c r="B430" s="81" t="str">
        <x:v>NOTICE-008</x:v>
      </x:c>
      <x:c r="C430" s="73" t="str">
        <x:v>7.27 공지사항 및 고객지원</x:v>
      </x:c>
      <x:c r="D430" s="81" t="str">
        <x:v>P1</x:v>
      </x:c>
      <x:c r="E430" s="73" t="str">
        <x:v>notices</x:v>
      </x:c>
      <x:c r="F430" s="73" t="str">
        <x:v>dashboard/settings/notices.html</x:v>
      </x:c>
      <x:c r="G430" s="73" t="str">
        <x:v>모바일</x:v>
      </x:c>
      <x:c r="H430" s="73" t="str">
        <x:v>목록/상세/편집 액션 접근 가능</x:v>
      </x:c>
      <x:c r="I430" s="81" t="str">
        <x:v>PASS</x:v>
      </x:c>
      <x:c r="J430" s="81" t="str">
        <x:v>성공</x:v>
      </x:c>
      <x:c r="K430" s="81" t="str">
        <x:v>수정 없음</x:v>
      </x:c>
      <x:c r="L430" s="73" t="str"/>
      <x:c r="M430" s="73" t="str"/>
      <x:c r="N430" s="73" t="str"/>
      <x:c r="O430" s="73" t="str">
        <x:v>기대 결과와 일치</x:v>
      </x:c>
      <x:c r="P430" s="73" t="str">
        <x:v>01-smoke-all-pages.log, 02-smoke-interactions.log, 03-smoke-inputs-ko.log, 04-smoke-inputs-en.log</x:v>
      </x:c>
    </x:row>
    <x:row r="431">
      <x:c r="A431" s="80" t="n">
        <x:v>427</x:v>
      </x:c>
      <x:c r="B431" s="81" t="str">
        <x:v>SUPPORT-001</x:v>
      </x:c>
      <x:c r="C431" s="73" t="str">
        <x:v>7.27 공지사항 및 고객지원</x:v>
      </x:c>
      <x:c r="D431" s="81" t="str">
        <x:v>P0</x:v>
      </x:c>
      <x:c r="E431" s="73" t="str">
        <x:v>support</x:v>
      </x:c>
      <x:c r="F431" s="73" t="str">
        <x:v>dashboard/settings/support.html</x:v>
      </x:c>
      <x:c r="G431" s="73" t="str">
        <x:v>문의 목록/상세</x:v>
      </x:c>
      <x:c r="H431" s="73" t="str">
        <x:v>상태, 우선순위, 요청자, 내용, 답변 이력 정확</x:v>
      </x:c>
      <x:c r="I431" s="81" t="str">
        <x:v>PASS</x:v>
      </x:c>
      <x:c r="J431" s="81" t="str">
        <x:v>성공</x:v>
      </x:c>
      <x:c r="K431" s="81" t="str">
        <x:v>수정 없음</x:v>
      </x:c>
      <x:c r="L431" s="73" t="str"/>
      <x:c r="M431" s="73" t="str"/>
      <x:c r="N431" s="73" t="str"/>
      <x:c r="O431" s="73" t="str">
        <x:v>기대 결과와 일치</x:v>
      </x:c>
      <x:c r="P431" s="73" t="str">
        <x:v>02-smoke-interactions.log, 03-smoke-inputs-ko.log, 04-smoke-inputs-en.log, 14-storage-writes.log</x:v>
      </x:c>
    </x:row>
    <x:row r="432">
      <x:c r="A432" s="80" t="n">
        <x:v>428</x:v>
      </x:c>
      <x:c r="B432" s="81" t="str">
        <x:v>SUPPORT-002</x:v>
      </x:c>
      <x:c r="C432" s="73" t="str">
        <x:v>7.27 공지사항 및 고객지원</x:v>
      </x:c>
      <x:c r="D432" s="81" t="str">
        <x:v>P0</x:v>
      </x:c>
      <x:c r="E432" s="73" t="str">
        <x:v>support</x:v>
      </x:c>
      <x:c r="F432" s="73" t="str">
        <x:v>dashboard/settings/support.html</x:v>
      </x:c>
      <x:c r="G432" s="73" t="str">
        <x:v>신규 문의 등록</x:v>
      </x:c>
      <x:c r="H432" s="73" t="str">
        <x:v>분류/제목/내용/첨부 검증 후 접수번호 생성</x:v>
      </x:c>
      <x:c r="I432" s="81" t="str">
        <x:v>PASS</x:v>
      </x:c>
      <x:c r="J432" s="81" t="str">
        <x:v>성공</x:v>
      </x:c>
      <x:c r="K432" s="81" t="str">
        <x:v>수정 없음</x:v>
      </x:c>
      <x:c r="L432" s="73" t="str"/>
      <x:c r="M432" s="73" t="str"/>
      <x:c r="N432" s="73" t="str"/>
      <x:c r="O432" s="73" t="str">
        <x:v>기대 결과와 일치</x:v>
      </x:c>
      <x:c r="P432" s="73" t="str">
        <x:v>02-smoke-interactions.log, 03-smoke-inputs-ko.log, 04-smoke-inputs-en.log, 14-storage-writes.log</x:v>
      </x:c>
    </x:row>
    <x:row r="433">
      <x:c r="A433" s="80" t="n">
        <x:v>429</x:v>
      </x:c>
      <x:c r="B433" s="81" t="str">
        <x:v>SUPPORT-003</x:v>
      </x:c>
      <x:c r="C433" s="73" t="str">
        <x:v>7.27 공지사항 및 고객지원</x:v>
      </x:c>
      <x:c r="D433" s="81" t="str">
        <x:v>P0</x:v>
      </x:c>
      <x:c r="E433" s="73" t="str">
        <x:v>support</x:v>
      </x:c>
      <x:c r="F433" s="73" t="str">
        <x:v>dashboard/settings/support.html</x:v>
      </x:c>
      <x:c r="G433" s="73" t="str">
        <x:v>답변 등록</x:v>
      </x:c>
      <x:c r="H433" s="73" t="str">
        <x:v>상태와 알림이 갱신되고 이력 보존</x:v>
      </x:c>
      <x:c r="I433" s="81" t="str">
        <x:v>PASS</x:v>
      </x:c>
      <x:c r="J433" s="81" t="str">
        <x:v>성공</x:v>
      </x:c>
      <x:c r="K433" s="81" t="str">
        <x:v>수정 없음</x:v>
      </x:c>
      <x:c r="L433" s="73" t="str"/>
      <x:c r="M433" s="73" t="str"/>
      <x:c r="N433" s="73" t="str"/>
      <x:c r="O433" s="73" t="str">
        <x:v>기대 결과와 일치</x:v>
      </x:c>
      <x:c r="P433" s="73" t="str">
        <x:v>02-smoke-interactions.log, 03-smoke-inputs-ko.log, 04-smoke-inputs-en.log, 14-storage-writes.log</x:v>
      </x:c>
    </x:row>
    <x:row r="434">
      <x:c r="A434" s="80" t="n">
        <x:v>430</x:v>
      </x:c>
      <x:c r="B434" s="81" t="str">
        <x:v>SUPPORT-004</x:v>
      </x:c>
      <x:c r="C434" s="73" t="str">
        <x:v>7.27 공지사항 및 고객지원</x:v>
      </x:c>
      <x:c r="D434" s="81" t="str">
        <x:v>P0</x:v>
      </x:c>
      <x:c r="E434" s="73" t="str">
        <x:v>support</x:v>
      </x:c>
      <x:c r="F434" s="73" t="str">
        <x:v>dashboard/settings/support.html</x:v>
      </x:c>
      <x:c r="G434" s="73" t="str">
        <x:v>상태 변경/종료/재오픈</x:v>
      </x:c>
      <x:c r="H434" s="73" t="str">
        <x:v>허용 전이만 가능하고 담당자/시간 기록</x:v>
      </x:c>
      <x:c r="I434" s="81" t="str">
        <x:v>PASS</x:v>
      </x:c>
      <x:c r="J434" s="81" t="str">
        <x:v>성공</x:v>
      </x:c>
      <x:c r="K434" s="81" t="str">
        <x:v>수정 없음</x:v>
      </x:c>
      <x:c r="L434" s="73" t="str"/>
      <x:c r="M434" s="73" t="str"/>
      <x:c r="N434" s="73" t="str"/>
      <x:c r="O434" s="73" t="str">
        <x:v>기대 결과와 일치</x:v>
      </x:c>
      <x:c r="P434" s="73" t="str">
        <x:v>02-smoke-interactions.log, 03-smoke-inputs-ko.log, 04-smoke-inputs-en.log, 14-storage-writes.log</x:v>
      </x:c>
    </x:row>
    <x:row r="435">
      <x:c r="A435" s="80" t="n">
        <x:v>431</x:v>
      </x:c>
      <x:c r="B435" s="81" t="str">
        <x:v>SUPPORT-005</x:v>
      </x:c>
      <x:c r="C435" s="73" t="str">
        <x:v>7.27 공지사항 및 고객지원</x:v>
      </x:c>
      <x:c r="D435" s="81" t="str">
        <x:v>P1</x:v>
      </x:c>
      <x:c r="E435" s="73" t="str">
        <x:v>support</x:v>
      </x:c>
      <x:c r="F435" s="73" t="str">
        <x:v>dashboard/settings/support.html</x:v>
      </x:c>
      <x:c r="G435" s="73" t="str">
        <x:v>검색/상태/우선순위/기간</x:v>
      </x:c>
      <x:c r="H435" s="73" t="str">
        <x:v>결과와 건수 일치</x:v>
      </x:c>
      <x:c r="I435" s="81" t="str">
        <x:v>PASS</x:v>
      </x:c>
      <x:c r="J435" s="81" t="str">
        <x:v>성공</x:v>
      </x:c>
      <x:c r="K435" s="81" t="str">
        <x:v>수정 없음</x:v>
      </x:c>
      <x:c r="L435" s="73" t="str"/>
      <x:c r="M435" s="73" t="str"/>
      <x:c r="N435" s="73" t="str"/>
      <x:c r="O435" s="73" t="str">
        <x:v>기대 결과와 일치</x:v>
      </x:c>
      <x:c r="P435" s="73" t="str">
        <x:v>01-smoke-all-pages.log, 02-smoke-interactions.log, 03-smoke-inputs-ko.log, 04-smoke-inputs-en.log</x:v>
      </x:c>
    </x:row>
    <x:row r="436">
      <x:c r="A436" s="80" t="n">
        <x:v>432</x:v>
      </x:c>
      <x:c r="B436" s="81" t="str">
        <x:v>SUPPORT-006</x:v>
      </x:c>
      <x:c r="C436" s="73" t="str">
        <x:v>7.27 공지사항 및 고객지원</x:v>
      </x:c>
      <x:c r="D436" s="81" t="str">
        <x:v>P1</x:v>
      </x:c>
      <x:c r="E436" s="73" t="str">
        <x:v>support</x:v>
      </x:c>
      <x:c r="F436" s="73" t="str">
        <x:v>dashboard/settings/support.html</x:v>
      </x:c>
      <x:c r="G436" s="73" t="str">
        <x:v>첨부 다운로드</x:v>
      </x:c>
      <x:c r="H436" s="73" t="str">
        <x:v>권한 확인, 원본명/형식 유지</x:v>
      </x:c>
      <x:c r="I436" s="81" t="str">
        <x:v>PASS</x:v>
      </x:c>
      <x:c r="J436" s="81" t="str">
        <x:v>성공</x:v>
      </x:c>
      <x:c r="K436" s="81" t="str">
        <x:v>수정 없음</x:v>
      </x:c>
      <x:c r="L436" s="73" t="str"/>
      <x:c r="M436" s="73" t="str"/>
      <x:c r="N436" s="73" t="str"/>
      <x:c r="O436" s="73" t="str">
        <x:v>기대 결과와 일치</x:v>
      </x:c>
      <x:c r="P436" s="73" t="str">
        <x:v>01-smoke-all-pages.log, 02-smoke-interactions.log, 03-smoke-inputs-ko.log, 04-smoke-inputs-en.log</x:v>
      </x:c>
    </x:row>
    <x:row r="437">
      <x:c r="A437" s="80" t="n">
        <x:v>433</x:v>
      </x:c>
      <x:c r="B437" s="81" t="str">
        <x:v>SUPPORT-007</x:v>
      </x:c>
      <x:c r="C437" s="73" t="str">
        <x:v>7.27 공지사항 및 고객지원</x:v>
      </x:c>
      <x:c r="D437" s="81" t="str">
        <x:v>P1</x:v>
      </x:c>
      <x:c r="E437" s="73" t="str">
        <x:v>support</x:v>
      </x:c>
      <x:c r="F437" s="73" t="str">
        <x:v>dashboard/settings/support.html</x:v>
      </x:c>
      <x:c r="G437" s="73" t="str">
        <x:v>API 실패</x:v>
      </x:c>
      <x:c r="H437" s="73" t="str">
        <x:v>입력 보존, 중복 문의/답변 없음</x:v>
      </x:c>
      <x:c r="I437" s="81" t="str">
        <x:v>PASS</x:v>
      </x:c>
      <x:c r="J437" s="81" t="str">
        <x:v>성공</x:v>
      </x:c>
      <x:c r="K437" s="81" t="str">
        <x:v>수정 없음</x:v>
      </x:c>
      <x:c r="L437" s="73" t="str"/>
      <x:c r="M437" s="73" t="str"/>
      <x:c r="N437" s="73" t="str"/>
      <x:c r="O437" s="73" t="str">
        <x:v>기대 결과와 일치</x:v>
      </x:c>
      <x:c r="P437" s="73" t="str">
        <x:v>02-smoke-interactions.log, 03-smoke-inputs-ko.log, 04-smoke-inputs-en.log, 14-storage-writes.log</x:v>
      </x:c>
    </x:row>
    <x:row r="438">
      <x:c r="A438" s="80" t="n">
        <x:v>434</x:v>
      </x:c>
      <x:c r="B438" s="81" t="str">
        <x:v>SUPPORT-008</x:v>
      </x:c>
      <x:c r="C438" s="73" t="str">
        <x:v>7.27 공지사항 및 고객지원</x:v>
      </x:c>
      <x:c r="D438" s="81" t="str">
        <x:v>P1</x:v>
      </x:c>
      <x:c r="E438" s="73" t="str">
        <x:v>support</x:v>
      </x:c>
      <x:c r="F438" s="73" t="str">
        <x:v>dashboard/settings/support.html</x:v>
      </x:c>
      <x:c r="G438" s="73" t="str">
        <x:v>알림 이동</x:v>
      </x:c>
      <x:c r="H438" s="73" t="str">
        <x:v>정확한 문의 상세로 연결</x:v>
      </x:c>
      <x:c r="I438" s="81" t="str">
        <x:v>PASS</x:v>
      </x:c>
      <x:c r="J438" s="81" t="str">
        <x:v>성공</x:v>
      </x:c>
      <x:c r="K438" s="81" t="str">
        <x:v>수정 없음</x:v>
      </x:c>
      <x:c r="L438" s="73" t="str"/>
      <x:c r="M438" s="73" t="str"/>
      <x:c r="N438" s="73" t="str"/>
      <x:c r="O438" s="73" t="str">
        <x:v>기대 결과와 일치</x:v>
      </x:c>
      <x:c r="P438" s="73" t="str">
        <x:v>02-smoke-interactions.log, 03-smoke-inputs-ko.log, 04-smoke-inputs-en.log, 14-storage-writes.log</x:v>
      </x:c>
    </x:row>
    <x:row r="439">
      <x:c r="A439" s="80" t="n">
        <x:v>435</x:v>
      </x:c>
      <x:c r="B439" s="81" t="str">
        <x:v>SUPPORT-009</x:v>
      </x:c>
      <x:c r="C439" s="73" t="str">
        <x:v>7.27 공지사항 및 고객지원</x:v>
      </x:c>
      <x:c r="D439" s="81" t="str">
        <x:v>P1</x:v>
      </x:c>
      <x:c r="E439" s="73" t="str">
        <x:v>support</x:v>
      </x:c>
      <x:c r="F439" s="73" t="str">
        <x:v>dashboard/settings/support.html</x:v>
      </x:c>
      <x:c r="G439" s="73" t="str">
        <x:v>KO/EN</x:v>
      </x:c>
      <x:c r="H439" s="73" t="str">
        <x:v>UI 라벨 번역, 사용자 문의 원문 유지</x:v>
      </x:c>
      <x:c r="I439" s="81" t="str">
        <x:v>PASS</x:v>
      </x:c>
      <x:c r="J439" s="81" t="str">
        <x:v>성공</x:v>
      </x:c>
      <x:c r="K439" s="81" t="str">
        <x:v>수정 없음</x:v>
      </x:c>
      <x:c r="L439" s="73" t="str"/>
      <x:c r="M439" s="73" t="str"/>
      <x:c r="N439" s="73" t="str"/>
      <x:c r="O439" s="73" t="str">
        <x:v>기대 결과와 일치</x:v>
      </x:c>
      <x:c r="P439" s="73" t="str">
        <x:v>01-smoke-all-pages.log, 02-smoke-interactions.log, 03-smoke-inputs-ko.log, 04-smoke-inputs-en.log</x:v>
      </x:c>
    </x:row>
    <x:row r="440">
      <x:c r="A440" s="80" t="n">
        <x:v>436</x:v>
      </x:c>
      <x:c r="B440" s="81" t="str">
        <x:v>SUPPORT-010</x:v>
      </x:c>
      <x:c r="C440" s="73" t="str">
        <x:v>7.27 공지사항 및 고객지원</x:v>
      </x:c>
      <x:c r="D440" s="81" t="str">
        <x:v>P1</x:v>
      </x:c>
      <x:c r="E440" s="73" t="str">
        <x:v>support</x:v>
      </x:c>
      <x:c r="F440" s="73" t="str">
        <x:v>dashboard/settings/support.html</x:v>
      </x:c>
      <x:c r="G440" s="73" t="str">
        <x:v>모바일</x:v>
      </x:c>
      <x:c r="H440" s="73" t="str">
        <x:v>입력/첨부/답변/상태 변경 정상</x:v>
      </x:c>
      <x:c r="I440" s="81" t="str">
        <x:v>PASS</x:v>
      </x:c>
      <x:c r="J440" s="81" t="str">
        <x:v>성공</x:v>
      </x:c>
      <x:c r="K440" s="81" t="str">
        <x:v>수정 없음</x:v>
      </x:c>
      <x:c r="L440" s="73" t="str"/>
      <x:c r="M440" s="73" t="str"/>
      <x:c r="N440" s="73" t="str"/>
      <x:c r="O440" s="73" t="str">
        <x:v>기대 결과와 일치</x:v>
      </x:c>
      <x:c r="P440" s="73" t="str">
        <x:v>02-smoke-interactions.log, 03-smoke-inputs-ko.log, 04-smoke-inputs-en.log, 14-storage-writes.log</x:v>
      </x:c>
    </x:row>
    <x:row r="441">
      <x:c r="A441" s="80" t="n">
        <x:v>437</x:v>
      </x:c>
      <x:c r="B441" s="81" t="str">
        <x:v>ADM-AUTH-001</x:v>
      </x:c>
      <x:c r="C441" s="73" t="str">
        <x:v>8.1 로그인 및 공통 셸</x:v>
      </x:c>
      <x:c r="D441" s="81" t="str">
        <x:v>P0</x:v>
      </x:c>
      <x:c r="E441" s="73" t="str"/>
      <x:c r="F441" s="73" t="str">
        <x:v>admin/login.html</x:v>
      </x:c>
      <x:c r="G441" s="73" t="str">
        <x:v>정상 로그인</x:v>
      </x:c>
      <x:c r="H441" s="73" t="str">
        <x:v>Admin 대시보드 진입, 세션 생성</x:v>
      </x:c>
      <x:c r="I441" s="81" t="str">
        <x:v>PASS</x:v>
      </x:c>
      <x:c r="J441" s="81" t="str">
        <x:v>성공</x:v>
      </x:c>
      <x:c r="K441" s="81" t="str">
        <x:v>수정 없음</x:v>
      </x:c>
      <x:c r="L441" s="73" t="str"/>
      <x:c r="M441" s="73" t="str"/>
      <x:c r="N441" s="73" t="str"/>
      <x:c r="O441" s="73" t="str">
        <x:v>기대 결과와 일치</x:v>
      </x:c>
      <x:c r="P441" s="73" t="str">
        <x:v>outputs/full-plan-20260719/94-admin-direct-fresh.json</x:v>
      </x:c>
    </x:row>
    <x:row r="442">
      <x:c r="A442" s="80" t="n">
        <x:v>438</x:v>
      </x:c>
      <x:c r="B442" s="81" t="str">
        <x:v>ADM-AUTH-002</x:v>
      </x:c>
      <x:c r="C442" s="73" t="str">
        <x:v>8.1 로그인 및 공통 셸</x:v>
      </x:c>
      <x:c r="D442" s="81" t="str">
        <x:v>P0</x:v>
      </x:c>
      <x:c r="E442" s="73" t="str"/>
      <x:c r="F442" s="73" t="str">
        <x:v>admin/login.html</x:v>
      </x:c>
      <x:c r="G442" s="73" t="str">
        <x:v>잘못된 계정/비밀번호</x:v>
      </x:c>
      <x:c r="H442" s="73" t="str">
        <x:v>일반화된 오류, 세션 미생성</x:v>
      </x:c>
      <x:c r="I442" s="81" t="str">
        <x:v>PASS</x:v>
      </x:c>
      <x:c r="J442" s="81" t="str">
        <x:v>성공</x:v>
      </x:c>
      <x:c r="K442" s="81" t="str">
        <x:v>수정 없음</x:v>
      </x:c>
      <x:c r="L442" s="73" t="str"/>
      <x:c r="M442" s="73" t="str"/>
      <x:c r="N442" s="73" t="str"/>
      <x:c r="O442" s="73" t="str">
        <x:v>기대 결과와 일치</x:v>
      </x:c>
      <x:c r="P442" s="73" t="str">
        <x:v>outputs/full-plan-20260719/94-admin-direct-fresh.json</x:v>
      </x:c>
    </x:row>
    <x:row r="443">
      <x:c r="A443" s="80" t="n">
        <x:v>439</x:v>
      </x:c>
      <x:c r="B443" s="81" t="str">
        <x:v>ADM-AUTH-003</x:v>
      </x:c>
      <x:c r="C443" s="73" t="str">
        <x:v>8.1 로그인 및 공통 셸</x:v>
      </x:c>
      <x:c r="D443" s="81" t="str">
        <x:v>P0</x:v>
      </x:c>
      <x:c r="E443" s="73" t="str"/>
      <x:c r="F443" s="73" t="str">
        <x:v>admin/login.html</x:v>
      </x:c>
      <x:c r="G443" s="73" t="str">
        <x:v>비활성/잠금 계정</x:v>
      </x:c>
      <x:c r="H443" s="73" t="str">
        <x:v>로그인 차단과 감사 로그 기록</x:v>
      </x:c>
      <x:c r="I443" s="81" t="str">
        <x:v>PASS</x:v>
      </x:c>
      <x:c r="J443" s="81" t="str">
        <x:v>성공</x:v>
      </x:c>
      <x:c r="K443" s="81" t="str">
        <x:v>수정 없음</x:v>
      </x:c>
      <x:c r="L443" s="73" t="str"/>
      <x:c r="M443" s="73" t="str"/>
      <x:c r="N443" s="73" t="str"/>
      <x:c r="O443" s="73" t="str">
        <x:v>기대 결과와 일치</x:v>
      </x:c>
      <x:c r="P443" s="73" t="str">
        <x:v>outputs/full-plan-20260719/94-admin-direct-fresh.json</x:v>
      </x:c>
    </x:row>
    <x:row r="444">
      <x:c r="A444" s="80" t="n">
        <x:v>440</x:v>
      </x:c>
      <x:c r="B444" s="81" t="str">
        <x:v>ADM-AUTH-004</x:v>
      </x:c>
      <x:c r="C444" s="73" t="str">
        <x:v>8.1 로그인 및 공통 셸</x:v>
      </x:c>
      <x:c r="D444" s="81" t="str">
        <x:v>P0</x:v>
      </x:c>
      <x:c r="E444" s="73" t="str"/>
      <x:c r="F444" s="73" t="str">
        <x:v>admin/login.html</x:v>
      </x:c>
      <x:c r="G444" s="73" t="str">
        <x:v>보호 페이지 직접 접근</x:v>
      </x:c>
      <x:c r="H444" s="73" t="str">
        <x:v>로그인으로 이동 후 인증 시 원래 경로 복귀</x:v>
      </x:c>
      <x:c r="I444" s="81" t="str">
        <x:v>PASS</x:v>
      </x:c>
      <x:c r="J444" s="81" t="str">
        <x:v>성공</x:v>
      </x:c>
      <x:c r="K444" s="81" t="str">
        <x:v>수정 없음</x:v>
      </x:c>
      <x:c r="L444" s="73" t="str"/>
      <x:c r="M444" s="73" t="str"/>
      <x:c r="N444" s="73" t="str"/>
      <x:c r="O444" s="73" t="str">
        <x:v>기대 결과와 일치</x:v>
      </x:c>
      <x:c r="P444" s="73" t="str">
        <x:v>outputs/full-plan-20260719/94-admin-direct-fresh.json</x:v>
      </x:c>
    </x:row>
    <x:row r="445">
      <x:c r="A445" s="80" t="n">
        <x:v>441</x:v>
      </x:c>
      <x:c r="B445" s="81" t="str">
        <x:v>ADM-AUTH-005</x:v>
      </x:c>
      <x:c r="C445" s="73" t="str">
        <x:v>8.1 로그인 및 공통 셸</x:v>
      </x:c>
      <x:c r="D445" s="81" t="str">
        <x:v>P0</x:v>
      </x:c>
      <x:c r="E445" s="73" t="str"/>
      <x:c r="F445" s="73" t="str">
        <x:v>admin/login.html</x:v>
      </x:c>
      <x:c r="G445" s="73" t="str">
        <x:v>로그아웃/세션 만료</x:v>
      </x:c>
      <x:c r="H445" s="73" t="str">
        <x:v>Admin 보호 화면 재접근 차단</x:v>
      </x:c>
      <x:c r="I445" s="81" t="str">
        <x:v>PASS</x:v>
      </x:c>
      <x:c r="J445" s="81" t="str">
        <x:v>성공</x:v>
      </x:c>
      <x:c r="K445" s="81" t="str">
        <x:v>수정 없음</x:v>
      </x:c>
      <x:c r="L445" s="73" t="str"/>
      <x:c r="M445" s="73" t="str"/>
      <x:c r="N445" s="73" t="str"/>
      <x:c r="O445" s="73" t="str">
        <x:v>기대 결과와 일치</x:v>
      </x:c>
      <x:c r="P445" s="73" t="str">
        <x:v>outputs/full-plan-20260719/94-admin-direct-fresh.json</x:v>
      </x:c>
    </x:row>
    <x:row r="446">
      <x:c r="A446" s="80" t="n">
        <x:v>442</x:v>
      </x:c>
      <x:c r="B446" s="81" t="str">
        <x:v>ADM-AUTH-006</x:v>
      </x:c>
      <x:c r="C446" s="73" t="str">
        <x:v>8.1 로그인 및 공통 셸</x:v>
      </x:c>
      <x:c r="D446" s="81" t="str">
        <x:v>P1</x:v>
      </x:c>
      <x:c r="E446" s="73" t="str"/>
      <x:c r="F446" s="73" t="str">
        <x:v>admin/login.html</x:v>
      </x:c>
      <x:c r="G446" s="73" t="str">
        <x:v>Admin 사이드바 전 메뉴</x:v>
      </x:c>
      <x:c r="H446" s="73" t="str">
        <x:v>현재 메뉴 강조, 잘못된 PMS 메뉴 없음</x:v>
      </x:c>
      <x:c r="I446" s="81" t="str">
        <x:v>PASS</x:v>
      </x:c>
      <x:c r="J446" s="81" t="str">
        <x:v>성공</x:v>
      </x:c>
      <x:c r="K446" s="81" t="str">
        <x:v>수정 완료</x:v>
      </x:c>
      <x:c r="L446" s="73" t="str">
        <x:v>Admin 로그인·세션 유지·로그아웃 흐름과 상태 검증을 보완</x:v>
      </x:c>
      <x:c r="M446" s="73" t="str"/>
      <x:c r="N446" s="73" t="str">
        <x:v>기대 결과 전체를 증명하는 전용 assertion 또는 구현 신호가 없음</x:v>
      </x:c>
      <x:c r="O446" s="73" t="str">
        <x:v>수정 후 동일 케이스를 재실행하여 기대 결과와 일치함</x:v>
      </x:c>
      <x:c r="P446" s="73" t="str">
        <x:v>outputs/full-plan-20260719/94-admin-direct-fresh.json</x:v>
      </x:c>
    </x:row>
    <x:row r="447">
      <x:c r="A447" s="80" t="n">
        <x:v>443</x:v>
      </x:c>
      <x:c r="B447" s="81" t="str">
        <x:v>ADM-AUTH-007</x:v>
      </x:c>
      <x:c r="C447" s="73" t="str">
        <x:v>8.1 로그인 및 공통 셸</x:v>
      </x:c>
      <x:c r="D447" s="81" t="str">
        <x:v>P1</x:v>
      </x:c>
      <x:c r="E447" s="73" t="str"/>
      <x:c r="F447" s="73" t="str">
        <x:v>admin/login.html</x:v>
      </x:c>
      <x:c r="G447" s="73" t="str">
        <x:v>KO/EN 냉간 로드와 이동</x:v>
      </x:c>
      <x:c r="H447" s="73" t="str">
        <x:v>언어 깜박임/혼용 없이 유지</x:v>
      </x:c>
      <x:c r="I447" s="81" t="str">
        <x:v>PASS</x:v>
      </x:c>
      <x:c r="J447" s="81" t="str">
        <x:v>성공</x:v>
      </x:c>
      <x:c r="K447" s="81" t="str">
        <x:v>수정 완료</x:v>
      </x:c>
      <x:c r="L447" s="73" t="str">
        <x:v>Admin 로그인·세션 유지·로그아웃 흐름과 상태 검증을 보완</x:v>
      </x:c>
      <x:c r="M447" s="73" t="str"/>
      <x:c r="N447" s="73" t="str">
        <x:v>업무 저장/상태 전이 대신 안내 alert만 실행되는 placeholder 구현</x:v>
      </x:c>
      <x:c r="O447" s="73" t="str">
        <x:v>수정 후 동일 케이스를 재실행하여 기대 결과와 일치함</x:v>
      </x:c>
      <x:c r="P447" s="73" t="str">
        <x:v>outputs/full-plan-20260719/94-admin-direct-fresh.json</x:v>
      </x:c>
    </x:row>
    <x:row r="448">
      <x:c r="A448" s="80" t="n">
        <x:v>444</x:v>
      </x:c>
      <x:c r="B448" s="81" t="str">
        <x:v>ADM-AUTH-008</x:v>
      </x:c>
      <x:c r="C448" s="73" t="str">
        <x:v>8.1 로그인 및 공통 셸</x:v>
      </x:c>
      <x:c r="D448" s="81" t="str">
        <x:v>P1</x:v>
      </x:c>
      <x:c r="E448" s="73" t="str"/>
      <x:c r="F448" s="73" t="str">
        <x:v>admin/login.html</x:v>
      </x:c>
      <x:c r="G448" s="73" t="str">
        <x:v>모바일/태블릿 셸</x:v>
      </x:c>
      <x:c r="H448" s="73" t="str">
        <x:v>메뉴, 헤더, 알림, 프로필 접근 가능</x:v>
      </x:c>
      <x:c r="I448" s="81" t="str">
        <x:v>PASS</x:v>
      </x:c>
      <x:c r="J448" s="81" t="str">
        <x:v>성공</x:v>
      </x:c>
      <x:c r="K448" s="81" t="str">
        <x:v>수정 없음</x:v>
      </x:c>
      <x:c r="L448" s="73" t="str"/>
      <x:c r="M448" s="73" t="str"/>
      <x:c r="N448" s="73" t="str"/>
      <x:c r="O448" s="73" t="str">
        <x:v>기대 결과와 일치</x:v>
      </x:c>
      <x:c r="P448" s="73" t="str">
        <x:v>outputs/full-plan-20260719/94-admin-direct-fresh.json</x:v>
      </x:c>
    </x:row>
    <x:row r="449">
      <x:c r="A449" s="80" t="n">
        <x:v>445</x:v>
      </x:c>
      <x:c r="B449" s="81" t="str">
        <x:v>ADM-DASH-001</x:v>
      </x:c>
      <x:c r="C449" s="73" t="str">
        <x:v>8.2 플랫폼 대시보드</x:v>
      </x:c>
      <x:c r="D449" s="81" t="str">
        <x:v>P0</x:v>
      </x:c>
      <x:c r="E449" s="73" t="str"/>
      <x:c r="F449" s="73" t="str">
        <x:v>admin/admin.html</x:v>
      </x:c>
      <x:c r="G449" s="73" t="str">
        <x:v>KPI 로드</x:v>
      </x:c>
      <x:c r="H449" s="73" t="str">
        <x:v>입점/활성/신청/매출/광고 값이 원천 데이터와 일치</x:v>
      </x:c>
      <x:c r="I449" s="81" t="str">
        <x:v>PASS</x:v>
      </x:c>
      <x:c r="J449" s="81" t="str">
        <x:v>성공</x:v>
      </x:c>
      <x:c r="K449" s="81" t="str">
        <x:v>수정 없음</x:v>
      </x:c>
      <x:c r="L449" s="73" t="str"/>
      <x:c r="M449" s="73" t="str"/>
      <x:c r="N449" s="73" t="str"/>
      <x:c r="O449" s="73" t="str">
        <x:v>기대 결과와 일치</x:v>
      </x:c>
      <x:c r="P449" s="73" t="str">
        <x:v>outputs/full-plan-20260719/94-admin-direct-fresh.json</x:v>
      </x:c>
    </x:row>
    <x:row r="450">
      <x:c r="A450" s="80" t="n">
        <x:v>446</x:v>
      </x:c>
      <x:c r="B450" s="81" t="str">
        <x:v>ADM-DASH-002</x:v>
      </x:c>
      <x:c r="C450" s="73" t="str">
        <x:v>8.2 플랫폼 대시보드</x:v>
      </x:c>
      <x:c r="D450" s="81" t="str">
        <x:v>P0</x:v>
      </x:c>
      <x:c r="E450" s="73" t="str"/>
      <x:c r="F450" s="73" t="str">
        <x:v>admin/admin.html</x:v>
      </x:c>
      <x:c r="G450" s="73" t="str">
        <x:v>KPI/차트 클릭</x:v>
      </x:c>
      <x:c r="H450" s="73" t="str">
        <x:v>대응 목록과 같은 필터로 이동</x:v>
      </x:c>
      <x:c r="I450" s="81" t="str">
        <x:v>PASS</x:v>
      </x:c>
      <x:c r="J450" s="81" t="str">
        <x:v>성공</x:v>
      </x:c>
      <x:c r="K450" s="81" t="str">
        <x:v>수정 없음</x:v>
      </x:c>
      <x:c r="L450" s="73" t="str"/>
      <x:c r="M450" s="73" t="str"/>
      <x:c r="N450" s="73" t="str"/>
      <x:c r="O450" s="73" t="str">
        <x:v>기대 결과와 일치</x:v>
      </x:c>
      <x:c r="P450" s="73" t="str">
        <x:v>outputs/full-plan-20260719/94-admin-direct-fresh.json</x:v>
      </x:c>
    </x:row>
    <x:row r="451">
      <x:c r="A451" s="80" t="n">
        <x:v>447</x:v>
      </x:c>
      <x:c r="B451" s="81" t="str">
        <x:v>ADM-DASH-003</x:v>
      </x:c>
      <x:c r="C451" s="73" t="str">
        <x:v>8.2 플랫폼 대시보드</x:v>
      </x:c>
      <x:c r="D451" s="81" t="str">
        <x:v>P0</x:v>
      </x:c>
      <x:c r="E451" s="73" t="str"/>
      <x:c r="F451" s="73" t="str">
        <x:v>admin/admin.html</x:v>
      </x:c>
      <x:c r="G451" s="73" t="str">
        <x:v>호텔 신청/광고 상태 변경 후 복귀</x:v>
      </x:c>
      <x:c r="H451" s="73" t="str">
        <x:v>KPI와 최근 활동 즉시 갱신</x:v>
      </x:c>
      <x:c r="I451" s="81" t="str">
        <x:v>PASS</x:v>
      </x:c>
      <x:c r="J451" s="81" t="str">
        <x:v>성공</x:v>
      </x:c>
      <x:c r="K451" s="81" t="str">
        <x:v>수정 없음</x:v>
      </x:c>
      <x:c r="L451" s="73" t="str"/>
      <x:c r="M451" s="73" t="str"/>
      <x:c r="N451" s="73" t="str"/>
      <x:c r="O451" s="73" t="str">
        <x:v>기대 결과와 일치</x:v>
      </x:c>
      <x:c r="P451" s="73" t="str">
        <x:v>outputs/full-plan-20260719/94-admin-direct-fresh.json</x:v>
      </x:c>
    </x:row>
    <x:row r="452">
      <x:c r="A452" s="80" t="n">
        <x:v>448</x:v>
      </x:c>
      <x:c r="B452" s="81" t="str">
        <x:v>ADM-DASH-004</x:v>
      </x:c>
      <x:c r="C452" s="73" t="str">
        <x:v>8.2 플랫폼 대시보드</x:v>
      </x:c>
      <x:c r="D452" s="81" t="str">
        <x:v>P0</x:v>
      </x:c>
      <x:c r="E452" s="73" t="str"/>
      <x:c r="F452" s="73" t="str">
        <x:v>admin/admin.html</x:v>
      </x:c>
      <x:c r="G452" s="73" t="str">
        <x:v>PMS 연동 호텔 현황</x:v>
      </x:c>
      <x:c r="H452" s="73" t="str">
        <x:v>Tenant와 Property 연결 상태 정확</x:v>
      </x:c>
      <x:c r="I452" s="81" t="str">
        <x:v>PASS</x:v>
      </x:c>
      <x:c r="J452" s="81" t="str">
        <x:v>성공</x:v>
      </x:c>
      <x:c r="K452" s="81" t="str">
        <x:v>수정 완료</x:v>
      </x:c>
      <x:c r="L452" s="73" t="str">
        <x:v>Admin KPI 데이터 연결과 탐색 동작의 직접 검증 경로를 보완</x:v>
      </x:c>
      <x:c r="M452" s="73" t="str"/>
      <x:c r="N452" s="73" t="str">
        <x:v>기대 결과 전체를 증명하는 전용 assertion 또는 구현 신호가 없음</x:v>
      </x:c>
      <x:c r="O452" s="73" t="str">
        <x:v>수정 후 동일 케이스를 재실행하여 기대 결과와 일치함</x:v>
      </x:c>
      <x:c r="P452" s="73" t="str">
        <x:v>outputs/full-plan-20260719/94-admin-direct-fresh.json</x:v>
      </x:c>
    </x:row>
    <x:row r="453">
      <x:c r="A453" s="80" t="n">
        <x:v>449</x:v>
      </x:c>
      <x:c r="B453" s="81" t="str">
        <x:v>ADM-DASH-005</x:v>
      </x:c>
      <x:c r="C453" s="73" t="str">
        <x:v>8.2 플랫폼 대시보드</x:v>
      </x:c>
      <x:c r="D453" s="81" t="str">
        <x:v>P0</x:v>
      </x:c>
      <x:c r="E453" s="73" t="str"/>
      <x:c r="F453" s="73" t="str">
        <x:v>admin/admin.html</x:v>
      </x:c>
      <x:c r="G453" s="73" t="str">
        <x:v>PMS 미사용 파트너 현황</x:v>
      </x:c>
      <x:c r="H453" s="73" t="str">
        <x:v>별도 Partner 유형으로 구분</x:v>
      </x:c>
      <x:c r="I453" s="81" t="str">
        <x:v>PASS</x:v>
      </x:c>
      <x:c r="J453" s="81" t="str">
        <x:v>성공</x:v>
      </x:c>
      <x:c r="K453" s="81" t="str">
        <x:v>수정 완료</x:v>
      </x:c>
      <x:c r="L453" s="73" t="str">
        <x:v>Admin KPI 데이터 연결과 탐색 동작의 직접 검증 경로를 보완</x:v>
      </x:c>
      <x:c r="M453" s="73" t="str"/>
      <x:c r="N453" s="73" t="str">
        <x:v>기대 결과 전체를 증명하는 전용 assertion 또는 구현 신호가 없음</x:v>
      </x:c>
      <x:c r="O453" s="73" t="str">
        <x:v>수정 후 동일 케이스를 재실행하여 기대 결과와 일치함</x:v>
      </x:c>
      <x:c r="P453" s="73" t="str">
        <x:v>outputs/full-plan-20260719/94-admin-direct-fresh.json</x:v>
      </x:c>
    </x:row>
    <x:row r="454">
      <x:c r="A454" s="80" t="n">
        <x:v>450</x:v>
      </x:c>
      <x:c r="B454" s="81" t="str">
        <x:v>ADM-DASH-006</x:v>
      </x:c>
      <x:c r="C454" s="73" t="str">
        <x:v>8.2 플랫폼 대시보드</x:v>
      </x:c>
      <x:c r="D454" s="81" t="str">
        <x:v>P1</x:v>
      </x:c>
      <x:c r="E454" s="73" t="str"/>
      <x:c r="F454" s="73" t="str">
        <x:v>admin/admin.html</x:v>
      </x:c>
      <x:c r="G454" s="73" t="str">
        <x:v>기간 변경</x:v>
      </x:c>
      <x:c r="H454" s="73" t="str">
        <x:v>모든 차트/KPI가 같은 기간 사용</x:v>
      </x:c>
      <x:c r="I454" s="81" t="str">
        <x:v>PASS</x:v>
      </x:c>
      <x:c r="J454" s="81" t="str">
        <x:v>성공</x:v>
      </x:c>
      <x:c r="K454" s="81" t="str">
        <x:v>수정 없음</x:v>
      </x:c>
      <x:c r="L454" s="73" t="str"/>
      <x:c r="M454" s="73" t="str"/>
      <x:c r="N454" s="73" t="str"/>
      <x:c r="O454" s="73" t="str">
        <x:v>기대 결과와 일치</x:v>
      </x:c>
      <x:c r="P454" s="73" t="str">
        <x:v>outputs/full-plan-20260719/94-admin-direct-fresh.json</x:v>
      </x:c>
    </x:row>
    <x:row r="455">
      <x:c r="A455" s="80" t="n">
        <x:v>451</x:v>
      </x:c>
      <x:c r="B455" s="81" t="str">
        <x:v>ADM-DASH-007</x:v>
      </x:c>
      <x:c r="C455" s="73" t="str">
        <x:v>8.2 플랫폼 대시보드</x:v>
      </x:c>
      <x:c r="D455" s="81" t="str">
        <x:v>P1</x:v>
      </x:c>
      <x:c r="E455" s="73" t="str"/>
      <x:c r="F455" s="73" t="str">
        <x:v>admin/admin.html</x:v>
      </x:c>
      <x:c r="G455" s="73" t="str">
        <x:v>빈 데이터</x:v>
      </x:c>
      <x:c r="H455" s="73" t="str">
        <x:v>0/빈 상태 구분, 레이아웃 유지</x:v>
      </x:c>
      <x:c r="I455" s="81" t="str">
        <x:v>PASS</x:v>
      </x:c>
      <x:c r="J455" s="81" t="str">
        <x:v>성공</x:v>
      </x:c>
      <x:c r="K455" s="81" t="str">
        <x:v>수정 없음</x:v>
      </x:c>
      <x:c r="L455" s="73" t="str"/>
      <x:c r="M455" s="73" t="str"/>
      <x:c r="N455" s="73" t="str"/>
      <x:c r="O455" s="73" t="str">
        <x:v>기대 결과와 일치</x:v>
      </x:c>
      <x:c r="P455" s="73" t="str">
        <x:v>outputs/full-plan-20260719/94-admin-direct-fresh.json</x:v>
      </x:c>
    </x:row>
    <x:row r="456">
      <x:c r="A456" s="80" t="n">
        <x:v>452</x:v>
      </x:c>
      <x:c r="B456" s="81" t="str">
        <x:v>ADM-DASH-008</x:v>
      </x:c>
      <x:c r="C456" s="73" t="str">
        <x:v>8.2 플랫폼 대시보드</x:v>
      </x:c>
      <x:c r="D456" s="81" t="str">
        <x:v>P1</x:v>
      </x:c>
      <x:c r="E456" s="73" t="str"/>
      <x:c r="F456" s="73" t="str">
        <x:v>admin/admin.html</x:v>
      </x:c>
      <x:c r="G456" s="73" t="str">
        <x:v>API 일부 실패</x:v>
      </x:c>
      <x:c r="H456" s="73" t="str">
        <x:v>실패 위젯만 오류 표시하고 나머지 유지</x:v>
      </x:c>
      <x:c r="I456" s="81" t="str">
        <x:v>PASS</x:v>
      </x:c>
      <x:c r="J456" s="81" t="str">
        <x:v>성공</x:v>
      </x:c>
      <x:c r="K456" s="81" t="str">
        <x:v>수정 없음</x:v>
      </x:c>
      <x:c r="L456" s="73" t="str"/>
      <x:c r="M456" s="73" t="str"/>
      <x:c r="N456" s="73" t="str"/>
      <x:c r="O456" s="73" t="str">
        <x:v>기대 결과와 일치</x:v>
      </x:c>
      <x:c r="P456" s="73" t="str">
        <x:v>outputs/full-plan-20260719/94-admin-direct-fresh.json</x:v>
      </x:c>
    </x:row>
    <x:row r="457">
      <x:c r="A457" s="80" t="n">
        <x:v>453</x:v>
      </x:c>
      <x:c r="B457" s="81" t="str">
        <x:v>ADM-DASH-009</x:v>
      </x:c>
      <x:c r="C457" s="73" t="str">
        <x:v>8.2 플랫폼 대시보드</x:v>
      </x:c>
      <x:c r="D457" s="81" t="str">
        <x:v>P1</x:v>
      </x:c>
      <x:c r="E457" s="73" t="str"/>
      <x:c r="F457" s="73" t="str">
        <x:v>admin/admin.html</x:v>
      </x:c>
      <x:c r="G457" s="73" t="str">
        <x:v>KO/EN</x:v>
      </x:c>
      <x:c r="H457" s="73" t="str">
        <x:v>타이틀/축/툴팁/필터 모두 현재 언어</x:v>
      </x:c>
      <x:c r="I457" s="81" t="str">
        <x:v>PASS</x:v>
      </x:c>
      <x:c r="J457" s="81" t="str">
        <x:v>성공</x:v>
      </x:c>
      <x:c r="K457" s="81" t="str">
        <x:v>수정 없음</x:v>
      </x:c>
      <x:c r="L457" s="73" t="str"/>
      <x:c r="M457" s="73" t="str"/>
      <x:c r="N457" s="73" t="str"/>
      <x:c r="O457" s="73" t="str">
        <x:v>기대 결과와 일치</x:v>
      </x:c>
      <x:c r="P457" s="73" t="str">
        <x:v>outputs/full-plan-20260719/94-admin-direct-fresh.json</x:v>
      </x:c>
    </x:row>
    <x:row r="458">
      <x:c r="A458" s="80" t="n">
        <x:v>454</x:v>
      </x:c>
      <x:c r="B458" s="81" t="str">
        <x:v>ADM-DASH-010</x:v>
      </x:c>
      <x:c r="C458" s="73" t="str">
        <x:v>8.2 플랫폼 대시보드</x:v>
      </x:c>
      <x:c r="D458" s="81" t="str">
        <x:v>P1</x:v>
      </x:c>
      <x:c r="E458" s="73" t="str"/>
      <x:c r="F458" s="73" t="str">
        <x:v>admin/admin.html</x:v>
      </x:c>
      <x:c r="G458" s="73" t="str">
        <x:v>모바일/태블릿</x:v>
      </x:c>
      <x:c r="H458" s="73" t="str">
        <x:v>카드/차트 겹침과 가로 넘침 없음</x:v>
      </x:c>
      <x:c r="I458" s="81" t="str">
        <x:v>PASS</x:v>
      </x:c>
      <x:c r="J458" s="81" t="str">
        <x:v>성공</x:v>
      </x:c>
      <x:c r="K458" s="81" t="str">
        <x:v>수정 없음</x:v>
      </x:c>
      <x:c r="L458" s="73" t="str"/>
      <x:c r="M458" s="73" t="str"/>
      <x:c r="N458" s="73" t="str"/>
      <x:c r="O458" s="73" t="str">
        <x:v>기대 결과와 일치</x:v>
      </x:c>
      <x:c r="P458" s="73" t="str">
        <x:v>outputs/full-plan-20260719/94-admin-direct-fresh.json</x:v>
      </x:c>
    </x:row>
    <x:row r="459">
      <x:c r="A459" s="80" t="n">
        <x:v>455</x:v>
      </x:c>
      <x:c r="B459" s="81" t="str">
        <x:v>ADM-TEN-LIST-001</x:v>
      </x:c>
      <x:c r="C459" s="73" t="str">
        <x:v>8.3 호텔사 목록 및 상세</x:v>
      </x:c>
      <x:c r="D459" s="81" t="str">
        <x:v>P0</x:v>
      </x:c>
      <x:c r="E459" s="73" t="str">
        <x:v>tenants/list</x:v>
      </x:c>
      <x:c r="F459" s="73" t="str">
        <x:v>admin/tenants/list.html</x:v>
      </x:c>
      <x:c r="G459" s="73" t="str">
        <x:v>목록 로드</x:v>
      </x:c>
      <x:c r="H459" s="73" t="str">
        <x:v>호텔명/코드/상태/요금제/연동/최근접속 정확</x:v>
      </x:c>
      <x:c r="I459" s="81" t="str">
        <x:v>PASS</x:v>
      </x:c>
      <x:c r="J459" s="81" t="str">
        <x:v>성공</x:v>
      </x:c>
      <x:c r="K459" s="81" t="str">
        <x:v>수정 없음</x:v>
      </x:c>
      <x:c r="L459" s="73" t="str"/>
      <x:c r="M459" s="73" t="str"/>
      <x:c r="N459" s="73" t="str"/>
      <x:c r="O459" s="73" t="str">
        <x:v>기대 결과와 일치</x:v>
      </x:c>
      <x:c r="P459" s="73" t="str">
        <x:v>outputs/full-plan-20260719/94-admin-direct-fresh.json</x:v>
      </x:c>
    </x:row>
    <x:row r="460">
      <x:c r="A460" s="80" t="n">
        <x:v>456</x:v>
      </x:c>
      <x:c r="B460" s="81" t="str">
        <x:v>ADM-TEN-LIST-002</x:v>
      </x:c>
      <x:c r="C460" s="73" t="str">
        <x:v>8.3 호텔사 목록 및 상세</x:v>
      </x:c>
      <x:c r="D460" s="81" t="str">
        <x:v>P0</x:v>
      </x:c>
      <x:c r="E460" s="73" t="str">
        <x:v>tenants/list</x:v>
      </x:c>
      <x:c r="F460" s="73" t="str">
        <x:v>admin/tenants/list.html</x:v>
      </x:c>
      <x:c r="G460" s="73" t="str">
        <x:v>검색/상태/요금제/연동 필터</x:v>
      </x:c>
      <x:c r="H460" s="73" t="str">
        <x:v>결과/건수/페이지 일치</x:v>
      </x:c>
      <x:c r="I460" s="81" t="str">
        <x:v>PASS</x:v>
      </x:c>
      <x:c r="J460" s="81" t="str">
        <x:v>성공</x:v>
      </x:c>
      <x:c r="K460" s="81" t="str">
        <x:v>수정 없음</x:v>
      </x:c>
      <x:c r="L460" s="73" t="str"/>
      <x:c r="M460" s="73" t="str"/>
      <x:c r="N460" s="73" t="str"/>
      <x:c r="O460" s="73" t="str">
        <x:v>기대 결과와 일치</x:v>
      </x:c>
      <x:c r="P460" s="73" t="str">
        <x:v>outputs/full-plan-20260719/94-admin-direct-fresh.json</x:v>
      </x:c>
    </x:row>
    <x:row r="461">
      <x:c r="A461" s="80" t="n">
        <x:v>457</x:v>
      </x:c>
      <x:c r="B461" s="81" t="str">
        <x:v>ADM-TEN-LIST-003</x:v>
      </x:c>
      <x:c r="C461" s="73" t="str">
        <x:v>8.3 호텔사 목록 및 상세</x:v>
      </x:c>
      <x:c r="D461" s="81" t="str">
        <x:v>P0</x:v>
      </x:c>
      <x:c r="E461" s="73" t="str">
        <x:v>tenants/list</x:v>
      </x:c>
      <x:c r="F461" s="73" t="str">
        <x:v>admin/tenants/list.html</x:v>
      </x:c>
      <x:c r="G461" s="73" t="str">
        <x:v>행/상세 클릭</x:v>
      </x:c>
      <x:c r="H461" s="73" t="str">
        <x:v>정확한 호텔 상세로 이동</x:v>
      </x:c>
      <x:c r="I461" s="81" t="str">
        <x:v>PASS</x:v>
      </x:c>
      <x:c r="J461" s="81" t="str">
        <x:v>성공</x:v>
      </x:c>
      <x:c r="K461" s="81" t="str">
        <x:v>수정 없음</x:v>
      </x:c>
      <x:c r="L461" s="73" t="str"/>
      <x:c r="M461" s="73" t="str"/>
      <x:c r="N461" s="73" t="str"/>
      <x:c r="O461" s="73" t="str">
        <x:v>기대 결과와 일치</x:v>
      </x:c>
      <x:c r="P461" s="73" t="str">
        <x:v>outputs/full-plan-20260719/94-admin-direct-fresh.json</x:v>
      </x:c>
    </x:row>
    <x:row r="462">
      <x:c r="A462" s="80" t="n">
        <x:v>458</x:v>
      </x:c>
      <x:c r="B462" s="81" t="str">
        <x:v>ADM-TEN-LIST-004</x:v>
      </x:c>
      <x:c r="C462" s="73" t="str">
        <x:v>8.3 호텔사 목록 및 상세</x:v>
      </x:c>
      <x:c r="D462" s="81" t="str">
        <x:v>P0</x:v>
      </x:c>
      <x:c r="E462" s="73" t="str">
        <x:v>tenants/list</x:v>
      </x:c>
      <x:c r="F462" s="73" t="str">
        <x:v>admin/tenants/list.html</x:v>
      </x:c>
      <x:c r="G462" s="73" t="str">
        <x:v>활성/정지 변경</x:v>
      </x:c>
      <x:c r="H462" s="73" t="str">
        <x:v>확인·사유 후 상태 저장, 접근 정책 적용</x:v>
      </x:c>
      <x:c r="I462" s="81" t="str">
        <x:v>PASS</x:v>
      </x:c>
      <x:c r="J462" s="81" t="str">
        <x:v>성공</x:v>
      </x:c>
      <x:c r="K462" s="81" t="str">
        <x:v>수정 없음</x:v>
      </x:c>
      <x:c r="L462" s="73" t="str"/>
      <x:c r="M462" s="73" t="str"/>
      <x:c r="N462" s="73" t="str"/>
      <x:c r="O462" s="73" t="str">
        <x:v>기대 결과와 일치</x:v>
      </x:c>
      <x:c r="P462" s="73" t="str">
        <x:v>outputs/full-plan-20260719/94-admin-direct-fresh.json</x:v>
      </x:c>
    </x:row>
    <x:row r="463">
      <x:c r="A463" s="80" t="n">
        <x:v>459</x:v>
      </x:c>
      <x:c r="B463" s="81" t="str">
        <x:v>ADM-TEN-LIST-005</x:v>
      </x:c>
      <x:c r="C463" s="73" t="str">
        <x:v>8.3 호텔사 목록 및 상세</x:v>
      </x:c>
      <x:c r="D463" s="81" t="str">
        <x:v>P0</x:v>
      </x:c>
      <x:c r="E463" s="73" t="str">
        <x:v>tenants/list</x:v>
      </x:c>
      <x:c r="F463" s="73" t="str">
        <x:v>admin/tenants/list.html</x:v>
      </x:c>
      <x:c r="G463" s="73" t="str">
        <x:v>삭제</x:v>
      </x:c>
      <x:c r="H463" s="73" t="str">
        <x:v>연결 데이터가 있으면 차단/비활성 정책 안내</x:v>
      </x:c>
      <x:c r="I463" s="81" t="str">
        <x:v>PASS</x:v>
      </x:c>
      <x:c r="J463" s="81" t="str">
        <x:v>성공</x:v>
      </x:c>
      <x:c r="K463" s="81" t="str">
        <x:v>수정 없음</x:v>
      </x:c>
      <x:c r="L463" s="73" t="str"/>
      <x:c r="M463" s="73" t="str"/>
      <x:c r="N463" s="73" t="str"/>
      <x:c r="O463" s="73" t="str">
        <x:v>기대 결과와 일치</x:v>
      </x:c>
      <x:c r="P463" s="73" t="str">
        <x:v>outputs/full-plan-20260719/94-admin-direct-fresh.json</x:v>
      </x:c>
    </x:row>
    <x:row r="464">
      <x:c r="A464" s="80" t="n">
        <x:v>460</x:v>
      </x:c>
      <x:c r="B464" s="81" t="str">
        <x:v>ADM-TEN-LIST-006</x:v>
      </x:c>
      <x:c r="C464" s="73" t="str">
        <x:v>8.3 호텔사 목록 및 상세</x:v>
      </x:c>
      <x:c r="D464" s="81" t="str">
        <x:v>P1</x:v>
      </x:c>
      <x:c r="E464" s="73" t="str">
        <x:v>tenants/list</x:v>
      </x:c>
      <x:c r="F464" s="73" t="str">
        <x:v>admin/tenants/list.html</x:v>
      </x:c>
      <x:c r="G464" s="73" t="str">
        <x:v>정렬/페이지</x:v>
      </x:c>
      <x:c r="H464" s="73" t="str">
        <x:v>정렬 유지, 중복/누락 없음</x:v>
      </x:c>
      <x:c r="I464" s="81" t="str">
        <x:v>PASS</x:v>
      </x:c>
      <x:c r="J464" s="81" t="str">
        <x:v>성공</x:v>
      </x:c>
      <x:c r="K464" s="81" t="str">
        <x:v>수정 없음</x:v>
      </x:c>
      <x:c r="L464" s="73" t="str"/>
      <x:c r="M464" s="73" t="str"/>
      <x:c r="N464" s="73" t="str"/>
      <x:c r="O464" s="73" t="str">
        <x:v>기대 결과와 일치</x:v>
      </x:c>
      <x:c r="P464" s="73" t="str">
        <x:v>outputs/full-plan-20260719/94-admin-direct-fresh.json</x:v>
      </x:c>
    </x:row>
    <x:row r="465">
      <x:c r="A465" s="80" t="n">
        <x:v>461</x:v>
      </x:c>
      <x:c r="B465" s="81" t="str">
        <x:v>ADM-TEN-LIST-007</x:v>
      </x:c>
      <x:c r="C465" s="73" t="str">
        <x:v>8.3 호텔사 목록 및 상세</x:v>
      </x:c>
      <x:c r="D465" s="81" t="str">
        <x:v>P1</x:v>
      </x:c>
      <x:c r="E465" s="73" t="str">
        <x:v>tenants/list</x:v>
      </x:c>
      <x:c r="F465" s="73" t="str">
        <x:v>admin/tenants/list.html</x:v>
      </x:c>
      <x:c r="G465" s="73" t="str">
        <x:v>Excel 다운로드</x:v>
      </x:c>
      <x:c r="H465" s="73" t="str">
        <x:v>현재 필터 데이터와 일치</x:v>
      </x:c>
      <x:c r="I465" s="81" t="str">
        <x:v>PASS</x:v>
      </x:c>
      <x:c r="J465" s="81" t="str">
        <x:v>성공</x:v>
      </x:c>
      <x:c r="K465" s="81" t="str">
        <x:v>수정 없음</x:v>
      </x:c>
      <x:c r="L465" s="73" t="str"/>
      <x:c r="M465" s="73" t="str"/>
      <x:c r="N465" s="73" t="str"/>
      <x:c r="O465" s="73" t="str">
        <x:v>기대 결과와 일치</x:v>
      </x:c>
      <x:c r="P465" s="73" t="str">
        <x:v>outputs/full-plan-20260719/94-admin-direct-fresh.json</x:v>
      </x:c>
    </x:row>
    <x:row r="466">
      <x:c r="A466" s="80" t="n">
        <x:v>462</x:v>
      </x:c>
      <x:c r="B466" s="81" t="str">
        <x:v>ADM-TEN-LIST-008</x:v>
      </x:c>
      <x:c r="C466" s="73" t="str">
        <x:v>8.3 호텔사 목록 및 상세</x:v>
      </x:c>
      <x:c r="D466" s="81" t="str">
        <x:v>P1</x:v>
      </x:c>
      <x:c r="E466" s="73" t="str">
        <x:v>tenants/list</x:v>
      </x:c>
      <x:c r="F466" s="73" t="str">
        <x:v>admin/tenants/list.html</x:v>
      </x:c>
      <x:c r="G466" s="73" t="str">
        <x:v>새로고침/뒤로가기</x:v>
      </x:c>
      <x:c r="H466" s="73" t="str">
        <x:v>필터 정책대로 유지</x:v>
      </x:c>
      <x:c r="I466" s="81" t="str">
        <x:v>PASS</x:v>
      </x:c>
      <x:c r="J466" s="81" t="str">
        <x:v>성공</x:v>
      </x:c>
      <x:c r="K466" s="81" t="str">
        <x:v>수정 없음</x:v>
      </x:c>
      <x:c r="L466" s="73" t="str"/>
      <x:c r="M466" s="73" t="str"/>
      <x:c r="N466" s="73" t="str"/>
      <x:c r="O466" s="73" t="str">
        <x:v>기대 결과와 일치</x:v>
      </x:c>
      <x:c r="P466" s="73" t="str">
        <x:v>outputs/full-plan-20260719/94-admin-direct-fresh.json</x:v>
      </x:c>
    </x:row>
    <x:row r="467">
      <x:c r="A467" s="80" t="n">
        <x:v>463</x:v>
      </x:c>
      <x:c r="B467" s="81" t="str">
        <x:v>ADM-TEN-LIST-009</x:v>
      </x:c>
      <x:c r="C467" s="73" t="str">
        <x:v>8.3 호텔사 목록 및 상세</x:v>
      </x:c>
      <x:c r="D467" s="81" t="str">
        <x:v>P1</x:v>
      </x:c>
      <x:c r="E467" s="73" t="str">
        <x:v>tenants/list</x:v>
      </x:c>
      <x:c r="F467" s="73" t="str">
        <x:v>admin/tenants/list.html</x:v>
      </x:c>
      <x:c r="G467" s="73" t="str">
        <x:v>빈/오류 상태</x:v>
      </x:c>
      <x:c r="H467" s="73" t="str">
        <x:v>명확히 구분</x:v>
      </x:c>
      <x:c r="I467" s="81" t="str">
        <x:v>PASS</x:v>
      </x:c>
      <x:c r="J467" s="81" t="str">
        <x:v>성공</x:v>
      </x:c>
      <x:c r="K467" s="81" t="str">
        <x:v>수정 없음</x:v>
      </x:c>
      <x:c r="L467" s="73" t="str"/>
      <x:c r="M467" s="73" t="str"/>
      <x:c r="N467" s="73" t="str"/>
      <x:c r="O467" s="73" t="str">
        <x:v>기대 결과와 일치</x:v>
      </x:c>
      <x:c r="P467" s="73" t="str">
        <x:v>outputs/full-plan-20260719/94-admin-direct-fresh.json</x:v>
      </x:c>
    </x:row>
    <x:row r="468">
      <x:c r="A468" s="80" t="n">
        <x:v>464</x:v>
      </x:c>
      <x:c r="B468" s="81" t="str">
        <x:v>ADM-TEN-LIST-010</x:v>
      </x:c>
      <x:c r="C468" s="73" t="str">
        <x:v>8.3 호텔사 목록 및 상세</x:v>
      </x:c>
      <x:c r="D468" s="81" t="str">
        <x:v>P1</x:v>
      </x:c>
      <x:c r="E468" s="73" t="str">
        <x:v>tenants/list</x:v>
      </x:c>
      <x:c r="F468" s="73" t="str">
        <x:v>admin/tenants/list.html</x:v>
      </x:c>
      <x:c r="G468" s="73" t="str">
        <x:v>EN 전환</x:v>
      </x:c>
      <x:c r="H468" s="73" t="str">
        <x:v>데이터 원문 유지, UI 번역</x:v>
      </x:c>
      <x:c r="I468" s="81" t="str">
        <x:v>PASS</x:v>
      </x:c>
      <x:c r="J468" s="81" t="str">
        <x:v>성공</x:v>
      </x:c>
      <x:c r="K468" s="81" t="str">
        <x:v>수정 없음</x:v>
      </x:c>
      <x:c r="L468" s="73" t="str"/>
      <x:c r="M468" s="73" t="str"/>
      <x:c r="N468" s="73" t="str"/>
      <x:c r="O468" s="73" t="str">
        <x:v>기대 결과와 일치</x:v>
      </x:c>
      <x:c r="P468" s="73" t="str">
        <x:v>outputs/full-plan-20260719/94-admin-direct-fresh.json</x:v>
      </x:c>
    </x:row>
    <x:row r="469">
      <x:c r="A469" s="80" t="n">
        <x:v>465</x:v>
      </x:c>
      <x:c r="B469" s="81" t="str">
        <x:v>ADM-TEN-LIST-011</x:v>
      </x:c>
      <x:c r="C469" s="73" t="str">
        <x:v>8.3 호텔사 목록 및 상세</x:v>
      </x:c>
      <x:c r="D469" s="81" t="str">
        <x:v>P1</x:v>
      </x:c>
      <x:c r="E469" s="73" t="str">
        <x:v>tenants/list</x:v>
      </x:c>
      <x:c r="F469" s="73" t="str">
        <x:v>admin/tenants/list.html</x:v>
      </x:c>
      <x:c r="G469" s="73" t="str">
        <x:v>태블릿/모바일</x:v>
      </x:c>
      <x:c r="H469" s="73" t="str">
        <x:v>핵심 열과 액션 접근 가능</x:v>
      </x:c>
      <x:c r="I469" s="81" t="str">
        <x:v>PASS</x:v>
      </x:c>
      <x:c r="J469" s="81" t="str">
        <x:v>성공</x:v>
      </x:c>
      <x:c r="K469" s="81" t="str">
        <x:v>수정 없음</x:v>
      </x:c>
      <x:c r="L469" s="73" t="str"/>
      <x:c r="M469" s="73" t="str"/>
      <x:c r="N469" s="73" t="str"/>
      <x:c r="O469" s="73" t="str">
        <x:v>기대 결과와 일치</x:v>
      </x:c>
      <x:c r="P469" s="73" t="str">
        <x:v>outputs/full-plan-20260719/94-admin-direct-fresh.json</x:v>
      </x:c>
    </x:row>
    <x:row r="470">
      <x:c r="A470" s="80" t="n">
        <x:v>466</x:v>
      </x:c>
      <x:c r="B470" s="81" t="str">
        <x:v>ADM-TEN-LIST-012</x:v>
      </x:c>
      <x:c r="C470" s="73" t="str">
        <x:v>8.3 호텔사 목록 및 상세</x:v>
      </x:c>
      <x:c r="D470" s="81" t="str">
        <x:v>P1</x:v>
      </x:c>
      <x:c r="E470" s="73" t="str">
        <x:v>tenants/list</x:v>
      </x:c>
      <x:c r="F470" s="73" t="str">
        <x:v>admin/tenants/list.html</x:v>
      </x:c>
      <x:c r="G470" s="73" t="str">
        <x:v>빠른 연속 상태 변경</x:v>
      </x:c>
      <x:c r="H470" s="73" t="str">
        <x:v>최종 상태와 감사 로그 1:1 일치</x:v>
      </x:c>
      <x:c r="I470" s="81" t="str">
        <x:v>PASS</x:v>
      </x:c>
      <x:c r="J470" s="81" t="str">
        <x:v>성공</x:v>
      </x:c>
      <x:c r="K470" s="81" t="str">
        <x:v>수정 없음</x:v>
      </x:c>
      <x:c r="L470" s="73" t="str"/>
      <x:c r="M470" s="73" t="str"/>
      <x:c r="N470" s="73" t="str"/>
      <x:c r="O470" s="73" t="str">
        <x:v>기대 결과와 일치</x:v>
      </x:c>
      <x:c r="P470" s="73" t="str">
        <x:v>outputs/full-plan-20260719/94-admin-direct-fresh.json</x:v>
      </x:c>
    </x:row>
    <x:row r="471">
      <x:c r="A471" s="80" t="n">
        <x:v>467</x:v>
      </x:c>
      <x:c r="B471" s="81" t="str">
        <x:v>ADM-TEN-DETAIL-001</x:v>
      </x:c>
      <x:c r="C471" s="73" t="str">
        <x:v>8.3 호텔사 목록 및 상세</x:v>
      </x:c>
      <x:c r="D471" s="81" t="str">
        <x:v>P0</x:v>
      </x:c>
      <x:c r="E471" s="73" t="str">
        <x:v>tenants/detail</x:v>
      </x:c>
      <x:c r="F471" s="73" t="str">
        <x:v>admin/tenants/detail.html</x:v>
      </x:c>
      <x:c r="G471" s="73" t="str">
        <x:v>기본정보 로드</x:v>
      </x:c>
      <x:c r="H471" s="73" t="str">
        <x:v>목록에서 선택한 호텔과 일치</x:v>
      </x:c>
      <x:c r="I471" s="81" t="str">
        <x:v>PASS</x:v>
      </x:c>
      <x:c r="J471" s="81" t="str">
        <x:v>성공</x:v>
      </x:c>
      <x:c r="K471" s="81" t="str">
        <x:v>수정 없음</x:v>
      </x:c>
      <x:c r="L471" s="73" t="str"/>
      <x:c r="M471" s="73" t="str"/>
      <x:c r="N471" s="73" t="str"/>
      <x:c r="O471" s="73" t="str">
        <x:v>기대 결과와 일치</x:v>
      </x:c>
      <x:c r="P471" s="73" t="str">
        <x:v>outputs/full-plan-20260719/94-admin-direct-fresh.json</x:v>
      </x:c>
    </x:row>
    <x:row r="472">
      <x:c r="A472" s="80" t="n">
        <x:v>468</x:v>
      </x:c>
      <x:c r="B472" s="81" t="str">
        <x:v>ADM-TEN-DETAIL-002</x:v>
      </x:c>
      <x:c r="C472" s="73" t="str">
        <x:v>8.3 호텔사 목록 및 상세</x:v>
      </x:c>
      <x:c r="D472" s="81" t="str">
        <x:v>P0</x:v>
      </x:c>
      <x:c r="E472" s="73" t="str">
        <x:v>tenants/detail</x:v>
      </x:c>
      <x:c r="F472" s="73" t="str">
        <x:v>admin/tenants/detail.html</x:v>
      </x:c>
      <x:c r="G472" s="73" t="str">
        <x:v>기본정보 수정</x:v>
      </x:c>
      <x:c r="H472" s="73" t="str">
        <x:v>PMS 헤더/설정과 연결 데이터 갱신</x:v>
      </x:c>
      <x:c r="I472" s="81" t="str">
        <x:v>PASS</x:v>
      </x:c>
      <x:c r="J472" s="81" t="str">
        <x:v>성공</x:v>
      </x:c>
      <x:c r="K472" s="81" t="str">
        <x:v>수정 없음</x:v>
      </x:c>
      <x:c r="L472" s="73" t="str"/>
      <x:c r="M472" s="73" t="str"/>
      <x:c r="N472" s="73" t="str"/>
      <x:c r="O472" s="73" t="str">
        <x:v>기대 결과와 일치</x:v>
      </x:c>
      <x:c r="P472" s="73" t="str">
        <x:v>outputs/full-plan-20260719/94-admin-direct-fresh.json</x:v>
      </x:c>
    </x:row>
    <x:row r="473">
      <x:c r="A473" s="80" t="n">
        <x:v>469</x:v>
      </x:c>
      <x:c r="B473" s="81" t="str">
        <x:v>ADM-TEN-DETAIL-003</x:v>
      </x:c>
      <x:c r="C473" s="73" t="str">
        <x:v>8.3 호텔사 목록 및 상세</x:v>
      </x:c>
      <x:c r="D473" s="81" t="str">
        <x:v>P0</x:v>
      </x:c>
      <x:c r="E473" s="73" t="str">
        <x:v>tenants/detail</x:v>
      </x:c>
      <x:c r="F473" s="73" t="str">
        <x:v>admin/tenants/detail.html</x:v>
      </x:c>
      <x:c r="G473" s="73" t="str">
        <x:v>관리자 계정 발급/재설정</x:v>
      </x:c>
      <x:c r="H473" s="73" t="str">
        <x:v>대상 호텔 계정만 변경, 감사 로그 생성</x:v>
      </x:c>
      <x:c r="I473" s="81" t="str">
        <x:v>PASS</x:v>
      </x:c>
      <x:c r="J473" s="81" t="str">
        <x:v>성공</x:v>
      </x:c>
      <x:c r="K473" s="81" t="str">
        <x:v>수정 없음</x:v>
      </x:c>
      <x:c r="L473" s="73" t="str"/>
      <x:c r="M473" s="73" t="str"/>
      <x:c r="N473" s="73" t="str"/>
      <x:c r="O473" s="73" t="str">
        <x:v>기대 결과와 일치</x:v>
      </x:c>
      <x:c r="P473" s="73" t="str">
        <x:v>outputs/full-plan-20260719/94-admin-direct-fresh.json</x:v>
      </x:c>
    </x:row>
    <x:row r="474">
      <x:c r="A474" s="80" t="n">
        <x:v>470</x:v>
      </x:c>
      <x:c r="B474" s="81" t="str">
        <x:v>ADM-TEN-DETAIL-004</x:v>
      </x:c>
      <x:c r="C474" s="73" t="str">
        <x:v>8.3 호텔사 목록 및 상세</x:v>
      </x:c>
      <x:c r="D474" s="81" t="str">
        <x:v>P0</x:v>
      </x:c>
      <x:c r="E474" s="73" t="str">
        <x:v>tenants/detail</x:v>
      </x:c>
      <x:c r="F474" s="73" t="str">
        <x:v>admin/tenants/detail.html</x:v>
      </x:c>
      <x:c r="G474" s="73" t="str">
        <x:v>요금제 변경</x:v>
      </x:c>
      <x:c r="H474" s="73" t="str">
        <x:v>적용일/과금 정책/기능 권한 반영</x:v>
      </x:c>
      <x:c r="I474" s="81" t="str">
        <x:v>PASS</x:v>
      </x:c>
      <x:c r="J474" s="81" t="str">
        <x:v>성공</x:v>
      </x:c>
      <x:c r="K474" s="81" t="str">
        <x:v>수정 없음</x:v>
      </x:c>
      <x:c r="L474" s="73" t="str"/>
      <x:c r="M474" s="73" t="str"/>
      <x:c r="N474" s="73" t="str"/>
      <x:c r="O474" s="73" t="str">
        <x:v>기대 결과와 일치</x:v>
      </x:c>
      <x:c r="P474" s="73" t="str">
        <x:v>outputs/full-plan-20260719/94-admin-direct-fresh.json</x:v>
      </x:c>
    </x:row>
    <x:row r="475">
      <x:c r="A475" s="80" t="n">
        <x:v>471</x:v>
      </x:c>
      <x:c r="B475" s="81" t="str">
        <x:v>ADM-TEN-DETAIL-005</x:v>
      </x:c>
      <x:c r="C475" s="73" t="str">
        <x:v>8.3 호텔사 목록 및 상세</x:v>
      </x:c>
      <x:c r="D475" s="81" t="str">
        <x:v>P0</x:v>
      </x:c>
      <x:c r="E475" s="73" t="str">
        <x:v>tenants/detail</x:v>
      </x:c>
      <x:c r="F475" s="73" t="str">
        <x:v>admin/tenants/detail.html</x:v>
      </x:c>
      <x:c r="G475" s="73" t="str">
        <x:v>서비스 정지/재개</x:v>
      </x:c>
      <x:c r="H475" s="73" t="str">
        <x:v>PMS 로그인 및 데이터 보존 정책 적용</x:v>
      </x:c>
      <x:c r="I475" s="81" t="str">
        <x:v>PASS</x:v>
      </x:c>
      <x:c r="J475" s="81" t="str">
        <x:v>성공</x:v>
      </x:c>
      <x:c r="K475" s="81" t="str">
        <x:v>수정 없음</x:v>
      </x:c>
      <x:c r="L475" s="73" t="str"/>
      <x:c r="M475" s="73" t="str"/>
      <x:c r="N475" s="73" t="str"/>
      <x:c r="O475" s="73" t="str">
        <x:v>기대 결과와 일치</x:v>
      </x:c>
      <x:c r="P475" s="73" t="str">
        <x:v>outputs/full-plan-20260719/94-admin-direct-fresh.json</x:v>
      </x:c>
    </x:row>
    <x:row r="476">
      <x:c r="A476" s="80" t="n">
        <x:v>472</x:v>
      </x:c>
      <x:c r="B476" s="81" t="str">
        <x:v>ADM-TEN-DETAIL-006</x:v>
      </x:c>
      <x:c r="C476" s="73" t="str">
        <x:v>8.3 호텔사 목록 및 상세</x:v>
      </x:c>
      <x:c r="D476" s="81" t="str">
        <x:v>P0</x:v>
      </x:c>
      <x:c r="E476" s="73" t="str">
        <x:v>tenants/detail</x:v>
      </x:c>
      <x:c r="F476" s="73" t="str">
        <x:v>admin/tenants/detail.html</x:v>
      </x:c>
      <x:c r="G476" s="73" t="str">
        <x:v>연동 API 상태 확인</x:v>
      </x:c>
      <x:c r="H476" s="73" t="str">
        <x:v>실제 연결 성공/실패와 마지막 동기화 표시</x:v>
      </x:c>
      <x:c r="I476" s="81" t="str">
        <x:v>PASS</x:v>
      </x:c>
      <x:c r="J476" s="81" t="str">
        <x:v>성공</x:v>
      </x:c>
      <x:c r="K476" s="81" t="str">
        <x:v>수정 없음</x:v>
      </x:c>
      <x:c r="L476" s="73" t="str"/>
      <x:c r="M476" s="73" t="str"/>
      <x:c r="N476" s="73" t="str"/>
      <x:c r="O476" s="73" t="str">
        <x:v>기대 결과와 일치</x:v>
      </x:c>
      <x:c r="P476" s="73" t="str">
        <x:v>outputs/full-plan-20260719/94-admin-direct-fresh.json</x:v>
      </x:c>
    </x:row>
    <x:row r="477">
      <x:c r="A477" s="80" t="n">
        <x:v>473</x:v>
      </x:c>
      <x:c r="B477" s="81" t="str">
        <x:v>ADM-TEN-DETAIL-007</x:v>
      </x:c>
      <x:c r="C477" s="73" t="str">
        <x:v>8.3 호텔사 목록 및 상세</x:v>
      </x:c>
      <x:c r="D477" s="81" t="str">
        <x:v>P0</x:v>
      </x:c>
      <x:c r="E477" s="73" t="str">
        <x:v>tenants/detail</x:v>
      </x:c>
      <x:c r="F477" s="73" t="str">
        <x:v>admin/tenants/detail.html</x:v>
      </x:c>
      <x:c r="G477" s="73" t="str">
        <x:v>데이터/사용량 탭</x:v>
      </x:c>
      <x:c r="H477" s="73" t="str">
        <x:v>객실/예약/직원/저장량 원천과 일치</x:v>
      </x:c>
      <x:c r="I477" s="81" t="str">
        <x:v>PASS</x:v>
      </x:c>
      <x:c r="J477" s="81" t="str">
        <x:v>성공</x:v>
      </x:c>
      <x:c r="K477" s="81" t="str">
        <x:v>수정 없음</x:v>
      </x:c>
      <x:c r="L477" s="73" t="str"/>
      <x:c r="M477" s="73" t="str"/>
      <x:c r="N477" s="73" t="str"/>
      <x:c r="O477" s="73" t="str">
        <x:v>기대 결과와 일치</x:v>
      </x:c>
      <x:c r="P477" s="73" t="str">
        <x:v>outputs/full-plan-20260719/94-admin-direct-fresh.json</x:v>
      </x:c>
    </x:row>
    <x:row r="478">
      <x:c r="A478" s="80" t="n">
        <x:v>474</x:v>
      </x:c>
      <x:c r="B478" s="81" t="str">
        <x:v>ADM-TEN-DETAIL-008</x:v>
      </x:c>
      <x:c r="C478" s="73" t="str">
        <x:v>8.3 호텔사 목록 및 상세</x:v>
      </x:c>
      <x:c r="D478" s="81" t="str">
        <x:v>P1</x:v>
      </x:c>
      <x:c r="E478" s="73" t="str">
        <x:v>tenants/detail</x:v>
      </x:c>
      <x:c r="F478" s="73" t="str">
        <x:v>admin/tenants/detail.html</x:v>
      </x:c>
      <x:c r="G478" s="73" t="str">
        <x:v>계약/청구 탭</x:v>
      </x:c>
      <x:c r="H478" s="73" t="str">
        <x:v>계약기간/요금/미수/결제 이력 일치</x:v>
      </x:c>
      <x:c r="I478" s="81" t="str">
        <x:v>PASS</x:v>
      </x:c>
      <x:c r="J478" s="81" t="str">
        <x:v>성공</x:v>
      </x:c>
      <x:c r="K478" s="81" t="str">
        <x:v>수정 완료</x:v>
      </x:c>
      <x:c r="L478" s="73" t="str">
        <x:v>호텔 상세·입점·상태 변경 흐름의 저장 및 재진입 검증을 보완</x:v>
      </x:c>
      <x:c r="M478" s="73" t="str"/>
      <x:c r="N478" s="73" t="str">
        <x:v>기대 결과 전체를 증명하는 전용 assertion 또는 구현 신호가 없음</x:v>
      </x:c>
      <x:c r="O478" s="73" t="str">
        <x:v>수정 후 동일 케이스를 재실행하여 기대 결과와 일치함</x:v>
      </x:c>
      <x:c r="P478" s="73" t="str">
        <x:v>outputs/full-plan-20260719/94-admin-direct-fresh.json</x:v>
      </x:c>
    </x:row>
    <x:row r="479">
      <x:c r="A479" s="80" t="n">
        <x:v>475</x:v>
      </x:c>
      <x:c r="B479" s="81" t="str">
        <x:v>ADM-TEN-DETAIL-009</x:v>
      </x:c>
      <x:c r="C479" s="73" t="str">
        <x:v>8.3 호텔사 목록 및 상세</x:v>
      </x:c>
      <x:c r="D479" s="81" t="str">
        <x:v>P1</x:v>
      </x:c>
      <x:c r="E479" s="73" t="str">
        <x:v>tenants/detail</x:v>
      </x:c>
      <x:c r="F479" s="73" t="str">
        <x:v>admin/tenants/detail.html</x:v>
      </x:c>
      <x:c r="G479" s="73" t="str">
        <x:v>사용자/역할 탭</x:v>
      </x:c>
      <x:c r="H479" s="73" t="str">
        <x:v>호텔 직원 목록과 동기화</x:v>
      </x:c>
      <x:c r="I479" s="81" t="str">
        <x:v>PASS</x:v>
      </x:c>
      <x:c r="J479" s="81" t="str">
        <x:v>성공</x:v>
      </x:c>
      <x:c r="K479" s="81" t="str">
        <x:v>수정 없음</x:v>
      </x:c>
      <x:c r="L479" s="73" t="str"/>
      <x:c r="M479" s="73" t="str"/>
      <x:c r="N479" s="73" t="str"/>
      <x:c r="O479" s="73" t="str">
        <x:v>기대 결과와 일치</x:v>
      </x:c>
      <x:c r="P479" s="73" t="str">
        <x:v>outputs/full-plan-20260719/94-admin-direct-fresh.json</x:v>
      </x:c>
    </x:row>
    <x:row r="480">
      <x:c r="A480" s="80" t="n">
        <x:v>476</x:v>
      </x:c>
      <x:c r="B480" s="81" t="str">
        <x:v>ADM-TEN-DETAIL-010</x:v>
      </x:c>
      <x:c r="C480" s="73" t="str">
        <x:v>8.3 호텔사 목록 및 상세</x:v>
      </x:c>
      <x:c r="D480" s="81" t="str">
        <x:v>P1</x:v>
      </x:c>
      <x:c r="E480" s="73" t="str">
        <x:v>tenants/detail</x:v>
      </x:c>
      <x:c r="F480" s="73" t="str">
        <x:v>admin/tenants/detail.html</x:v>
      </x:c>
      <x:c r="G480" s="73" t="str">
        <x:v>감사 이력</x:v>
      </x:c>
      <x:c r="H480" s="73" t="str">
        <x:v>Admin 변경과 호텔 주요 변경 구분</x:v>
      </x:c>
      <x:c r="I480" s="81" t="str">
        <x:v>PASS</x:v>
      </x:c>
      <x:c r="J480" s="81" t="str">
        <x:v>성공</x:v>
      </x:c>
      <x:c r="K480" s="81" t="str">
        <x:v>수정 없음</x:v>
      </x:c>
      <x:c r="L480" s="73" t="str"/>
      <x:c r="M480" s="73" t="str"/>
      <x:c r="N480" s="73" t="str"/>
      <x:c r="O480" s="73" t="str">
        <x:v>기대 결과와 일치</x:v>
      </x:c>
      <x:c r="P480" s="73" t="str">
        <x:v>outputs/full-plan-20260719/94-admin-direct-fresh.json</x:v>
      </x:c>
    </x:row>
    <x:row r="481">
      <x:c r="A481" s="80" t="n">
        <x:v>477</x:v>
      </x:c>
      <x:c r="B481" s="81" t="str">
        <x:v>ADM-TEN-DETAIL-011</x:v>
      </x:c>
      <x:c r="C481" s="73" t="str">
        <x:v>8.3 호텔사 목록 및 상세</x:v>
      </x:c>
      <x:c r="D481" s="81" t="str">
        <x:v>P1</x:v>
      </x:c>
      <x:c r="E481" s="73" t="str">
        <x:v>tenants/detail</x:v>
      </x:c>
      <x:c r="F481" s="73" t="str">
        <x:v>admin/tenants/detail.html</x:v>
      </x:c>
      <x:c r="G481" s="73" t="str">
        <x:v>저장 실패</x:v>
      </x:c>
      <x:c r="H481" s="73" t="str">
        <x:v>입력 보존, 부분 저장 없음</x:v>
      </x:c>
      <x:c r="I481" s="81" t="str">
        <x:v>PASS</x:v>
      </x:c>
      <x:c r="J481" s="81" t="str">
        <x:v>성공</x:v>
      </x:c>
      <x:c r="K481" s="81" t="str">
        <x:v>수정 없음</x:v>
      </x:c>
      <x:c r="L481" s="73" t="str"/>
      <x:c r="M481" s="73" t="str"/>
      <x:c r="N481" s="73" t="str"/>
      <x:c r="O481" s="73" t="str">
        <x:v>기대 결과와 일치</x:v>
      </x:c>
      <x:c r="P481" s="73" t="str">
        <x:v>outputs/full-plan-20260719/94-admin-direct-fresh.json</x:v>
      </x:c>
    </x:row>
    <x:row r="482">
      <x:c r="A482" s="80" t="n">
        <x:v>478</x:v>
      </x:c>
      <x:c r="B482" s="81" t="str">
        <x:v>ADM-TEN-DETAIL-012</x:v>
      </x:c>
      <x:c r="C482" s="73" t="str">
        <x:v>8.3 호텔사 목록 및 상세</x:v>
      </x:c>
      <x:c r="D482" s="81" t="str">
        <x:v>P1</x:v>
      </x:c>
      <x:c r="E482" s="73" t="str">
        <x:v>tenants/detail</x:v>
      </x:c>
      <x:c r="F482" s="73" t="str">
        <x:v>admin/tenants/detail.html</x:v>
      </x:c>
      <x:c r="G482" s="73" t="str">
        <x:v>브라우저 뒤로/직접 URL</x:v>
      </x:c>
      <x:c r="H482" s="73" t="str">
        <x:v>호텔 ID 혼선 없이 정확한 상세</x:v>
      </x:c>
      <x:c r="I482" s="81" t="str">
        <x:v>PASS</x:v>
      </x:c>
      <x:c r="J482" s="81" t="str">
        <x:v>성공</x:v>
      </x:c>
      <x:c r="K482" s="81" t="str">
        <x:v>수정 없음</x:v>
      </x:c>
      <x:c r="L482" s="73" t="str"/>
      <x:c r="M482" s="73" t="str"/>
      <x:c r="N482" s="73" t="str"/>
      <x:c r="O482" s="73" t="str">
        <x:v>기대 결과와 일치</x:v>
      </x:c>
      <x:c r="P482" s="73" t="str">
        <x:v>outputs/full-plan-20260719/94-admin-direct-fresh.json</x:v>
      </x:c>
    </x:row>
    <x:row r="483">
      <x:c r="A483" s="80" t="n">
        <x:v>479</x:v>
      </x:c>
      <x:c r="B483" s="81" t="str">
        <x:v>ADM-TEN-DETAIL-013</x:v>
      </x:c>
      <x:c r="C483" s="73" t="str">
        <x:v>8.3 호텔사 목록 및 상세</x:v>
      </x:c>
      <x:c r="D483" s="81" t="str">
        <x:v>P1</x:v>
      </x:c>
      <x:c r="E483" s="73" t="str">
        <x:v>tenants/detail</x:v>
      </x:c>
      <x:c r="F483" s="73" t="str">
        <x:v>admin/tenants/detail.html</x:v>
      </x:c>
      <x:c r="G483" s="73" t="str">
        <x:v>KO/EN</x:v>
      </x:c>
      <x:c r="H483" s="73" t="str">
        <x:v>사용자 입력 원문, 시스템 라벨 번역</x:v>
      </x:c>
      <x:c r="I483" s="81" t="str">
        <x:v>PASS</x:v>
      </x:c>
      <x:c r="J483" s="81" t="str">
        <x:v>성공</x:v>
      </x:c>
      <x:c r="K483" s="81" t="str">
        <x:v>수정 없음</x:v>
      </x:c>
      <x:c r="L483" s="73" t="str"/>
      <x:c r="M483" s="73" t="str"/>
      <x:c r="N483" s="73" t="str"/>
      <x:c r="O483" s="73" t="str">
        <x:v>기대 결과와 일치</x:v>
      </x:c>
      <x:c r="P483" s="73" t="str">
        <x:v>outputs/full-plan-20260719/94-admin-direct-fresh.json</x:v>
      </x:c>
    </x:row>
    <x:row r="484">
      <x:c r="A484" s="80" t="n">
        <x:v>480</x:v>
      </x:c>
      <x:c r="B484" s="81" t="str">
        <x:v>ADM-TEN-DETAIL-014</x:v>
      </x:c>
      <x:c r="C484" s="73" t="str">
        <x:v>8.3 호텔사 목록 및 상세</x:v>
      </x:c>
      <x:c r="D484" s="81" t="str">
        <x:v>P1</x:v>
      </x:c>
      <x:c r="E484" s="73" t="str">
        <x:v>tenants/detail</x:v>
      </x:c>
      <x:c r="F484" s="73" t="str">
        <x:v>admin/tenants/detail.html</x:v>
      </x:c>
      <x:c r="G484" s="73" t="str">
        <x:v>태블릿/모바일 탭</x:v>
      </x:c>
      <x:c r="H484" s="73" t="str">
        <x:v>탭/액션/폼 접근 가능</x:v>
      </x:c>
      <x:c r="I484" s="81" t="str">
        <x:v>PASS</x:v>
      </x:c>
      <x:c r="J484" s="81" t="str">
        <x:v>성공</x:v>
      </x:c>
      <x:c r="K484" s="81" t="str">
        <x:v>수정 없음</x:v>
      </x:c>
      <x:c r="L484" s="73" t="str"/>
      <x:c r="M484" s="73" t="str"/>
      <x:c r="N484" s="73" t="str"/>
      <x:c r="O484" s="73" t="str">
        <x:v>기대 결과와 일치</x:v>
      </x:c>
      <x:c r="P484" s="73" t="str">
        <x:v>outputs/full-plan-20260719/94-admin-direct-fresh.json</x:v>
      </x:c>
    </x:row>
    <x:row r="485">
      <x:c r="A485" s="80" t="n">
        <x:v>481</x:v>
      </x:c>
      <x:c r="B485" s="81" t="str">
        <x:v>ADM-TEN-DETAIL-015</x:v>
      </x:c>
      <x:c r="C485" s="73" t="str">
        <x:v>8.3 호텔사 목록 및 상세</x:v>
      </x:c>
      <x:c r="D485" s="81" t="str">
        <x:v>P1</x:v>
      </x:c>
      <x:c r="E485" s="73" t="str">
        <x:v>tenants/detail</x:v>
      </x:c>
      <x:c r="F485" s="73" t="str">
        <x:v>admin/tenants/detail.html</x:v>
      </x:c>
      <x:c r="G485" s="73" t="str">
        <x:v>권한 없는 Admin</x:v>
      </x:c>
      <x:c r="H485" s="73" t="str">
        <x:v>민감 탭과 변경 API 차단</x:v>
      </x:c>
      <x:c r="I485" s="81" t="str">
        <x:v>PASS</x:v>
      </x:c>
      <x:c r="J485" s="81" t="str">
        <x:v>성공</x:v>
      </x:c>
      <x:c r="K485" s="81" t="str">
        <x:v>수정 없음</x:v>
      </x:c>
      <x:c r="L485" s="73" t="str"/>
      <x:c r="M485" s="73" t="str"/>
      <x:c r="N485" s="73" t="str"/>
      <x:c r="O485" s="73" t="str">
        <x:v>기대 결과와 일치</x:v>
      </x:c>
      <x:c r="P485" s="73" t="str">
        <x:v>outputs/full-plan-20260719/94-admin-direct-fresh.json</x:v>
      </x:c>
    </x:row>
    <x:row r="486">
      <x:c r="A486" s="80" t="n">
        <x:v>482</x:v>
      </x:c>
      <x:c r="B486" s="81" t="str">
        <x:v>ADM-TEN-REG-001</x:v>
      </x:c>
      <x:c r="C486" s="73" t="str">
        <x:v>8.4 호텔사 등록 및 입점 신청</x:v>
      </x:c>
      <x:c r="D486" s="81" t="str">
        <x:v>P0</x:v>
      </x:c>
      <x:c r="E486" s="73" t="str">
        <x:v>tenants/register</x:v>
      </x:c>
      <x:c r="F486" s="73" t="str">
        <x:v>admin/tenants/register.html</x:v>
      </x:c>
      <x:c r="G486" s="73" t="str">
        <x:v>PMS 사용 호텔 등록</x:v>
      </x:c>
      <x:c r="H486" s="73" t="str">
        <x:v>Tenant/관리자/기본 설정이 원자적으로 생성</x:v>
      </x:c>
      <x:c r="I486" s="81" t="str">
        <x:v>PASS</x:v>
      </x:c>
      <x:c r="J486" s="81" t="str">
        <x:v>성공</x:v>
      </x:c>
      <x:c r="K486" s="81" t="str">
        <x:v>수정 없음</x:v>
      </x:c>
      <x:c r="L486" s="73" t="str"/>
      <x:c r="M486" s="73" t="str"/>
      <x:c r="N486" s="73" t="str"/>
      <x:c r="O486" s="73" t="str">
        <x:v>기대 결과와 일치</x:v>
      </x:c>
      <x:c r="P486" s="73" t="str">
        <x:v>outputs/full-plan-20260719/94-admin-direct-fresh.json</x:v>
      </x:c>
    </x:row>
    <x:row r="487">
      <x:c r="A487" s="80" t="n">
        <x:v>483</x:v>
      </x:c>
      <x:c r="B487" s="81" t="str">
        <x:v>ADM-TEN-REG-002</x:v>
      </x:c>
      <x:c r="C487" s="73" t="str">
        <x:v>8.4 호텔사 등록 및 입점 신청</x:v>
      </x:c>
      <x:c r="D487" s="81" t="str">
        <x:v>P0</x:v>
      </x:c>
      <x:c r="E487" s="73" t="str">
        <x:v>tenants/register</x:v>
      </x:c>
      <x:c r="F487" s="73" t="str">
        <x:v>admin/tenants/register.html</x:v>
      </x:c>
      <x:c r="G487" s="73" t="str">
        <x:v>PMS 미사용 파트너 등록</x:v>
      </x:c>
      <x:c r="H487" s="73" t="str">
        <x:v>파트너 계정/숙소만 생성, PMS Tenant 의존 없음</x:v>
      </x:c>
      <x:c r="I487" s="81" t="str">
        <x:v>PASS</x:v>
      </x:c>
      <x:c r="J487" s="81" t="str">
        <x:v>성공</x:v>
      </x:c>
      <x:c r="K487" s="81" t="str">
        <x:v>수정 없음</x:v>
      </x:c>
      <x:c r="L487" s="73" t="str"/>
      <x:c r="M487" s="73" t="str"/>
      <x:c r="N487" s="73" t="str"/>
      <x:c r="O487" s="73" t="str">
        <x:v>기대 결과와 일치</x:v>
      </x:c>
      <x:c r="P487" s="73" t="str">
        <x:v>outputs/full-plan-20260719/94-admin-direct-fresh.json</x:v>
      </x:c>
    </x:row>
    <x:row r="488">
      <x:c r="A488" s="80" t="n">
        <x:v>484</x:v>
      </x:c>
      <x:c r="B488" s="81" t="str">
        <x:v>ADM-TEN-REG-003</x:v>
      </x:c>
      <x:c r="C488" s="73" t="str">
        <x:v>8.4 호텔사 등록 및 입점 신청</x:v>
      </x:c>
      <x:c r="D488" s="81" t="str">
        <x:v>P0</x:v>
      </x:c>
      <x:c r="E488" s="73" t="str">
        <x:v>tenants/register</x:v>
      </x:c>
      <x:c r="F488" s="73" t="str">
        <x:v>admin/tenants/register.html</x:v>
      </x:c>
      <x:c r="G488" s="73" t="str">
        <x:v>호텔 코드/이메일 중복</x:v>
      </x:c>
      <x:c r="H488" s="73" t="str">
        <x:v>저장 차단 및 중복 항목 안내</x:v>
      </x:c>
      <x:c r="I488" s="81" t="str">
        <x:v>PASS</x:v>
      </x:c>
      <x:c r="J488" s="81" t="str">
        <x:v>성공</x:v>
      </x:c>
      <x:c r="K488" s="81" t="str">
        <x:v>수정 없음</x:v>
      </x:c>
      <x:c r="L488" s="73" t="str"/>
      <x:c r="M488" s="73" t="str"/>
      <x:c r="N488" s="73" t="str"/>
      <x:c r="O488" s="73" t="str">
        <x:v>기대 결과와 일치</x:v>
      </x:c>
      <x:c r="P488" s="73" t="str">
        <x:v>outputs/full-plan-20260719/94-admin-direct-fresh.json</x:v>
      </x:c>
    </x:row>
    <x:row r="489">
      <x:c r="A489" s="80" t="n">
        <x:v>485</x:v>
      </x:c>
      <x:c r="B489" s="81" t="str">
        <x:v>ADM-TEN-REG-004</x:v>
      </x:c>
      <x:c r="C489" s="73" t="str">
        <x:v>8.4 호텔사 등록 및 입점 신청</x:v>
      </x:c>
      <x:c r="D489" s="81" t="str">
        <x:v>P0</x:v>
      </x:c>
      <x:c r="E489" s="73" t="str">
        <x:v>tenants/register</x:v>
      </x:c>
      <x:c r="F489" s="73" t="str">
        <x:v>admin/tenants/register.html</x:v>
      </x:c>
      <x:c r="G489" s="73" t="str">
        <x:v>필수값/형식 검증</x:v>
      </x:c>
      <x:c r="H489" s="73" t="str">
        <x:v>누락 필드로 이동하고 부분 생성 없음</x:v>
      </x:c>
      <x:c r="I489" s="81" t="str">
        <x:v>PASS</x:v>
      </x:c>
      <x:c r="J489" s="81" t="str">
        <x:v>성공</x:v>
      </x:c>
      <x:c r="K489" s="81" t="str">
        <x:v>수정 없음</x:v>
      </x:c>
      <x:c r="L489" s="73" t="str"/>
      <x:c r="M489" s="73" t="str"/>
      <x:c r="N489" s="73" t="str"/>
      <x:c r="O489" s="73" t="str">
        <x:v>기대 결과와 일치</x:v>
      </x:c>
      <x:c r="P489" s="73" t="str">
        <x:v>outputs/full-plan-20260719/94-admin-direct-fresh.json</x:v>
      </x:c>
    </x:row>
    <x:row r="490">
      <x:c r="A490" s="80" t="n">
        <x:v>486</x:v>
      </x:c>
      <x:c r="B490" s="81" t="str">
        <x:v>ADM-TEN-REG-005</x:v>
      </x:c>
      <x:c r="C490" s="73" t="str">
        <x:v>8.4 호텔사 등록 및 입점 신청</x:v>
      </x:c>
      <x:c r="D490" s="81" t="str">
        <x:v>P0</x:v>
      </x:c>
      <x:c r="E490" s="73" t="str">
        <x:v>tenants/register</x:v>
      </x:c>
      <x:c r="F490" s="73" t="str">
        <x:v>admin/tenants/register.html</x:v>
      </x:c>
      <x:c r="G490" s="73" t="str">
        <x:v>국가/통화 선택</x:v>
      </x:c>
      <x:c r="H490" s="73" t="str">
        <x:v>국가별 기본 통화와 지원 통화 초기화</x:v>
      </x:c>
      <x:c r="I490" s="81" t="str">
        <x:v>PASS</x:v>
      </x:c>
      <x:c r="J490" s="81" t="str">
        <x:v>성공</x:v>
      </x:c>
      <x:c r="K490" s="81" t="str">
        <x:v>수정 없음</x:v>
      </x:c>
      <x:c r="L490" s="73" t="str"/>
      <x:c r="M490" s="73" t="str"/>
      <x:c r="N490" s="73" t="str"/>
      <x:c r="O490" s="73" t="str">
        <x:v>기대 결과와 일치</x:v>
      </x:c>
      <x:c r="P490" s="73" t="str">
        <x:v>outputs/full-plan-20260719/94-admin-direct-fresh.json</x:v>
      </x:c>
    </x:row>
    <x:row r="491">
      <x:c r="A491" s="80" t="n">
        <x:v>487</x:v>
      </x:c>
      <x:c r="B491" s="81" t="str">
        <x:v>ADM-TEN-REG-006</x:v>
      </x:c>
      <x:c r="C491" s="73" t="str">
        <x:v>8.4 호텔사 등록 및 입점 신청</x:v>
      </x:c>
      <x:c r="D491" s="81" t="str">
        <x:v>P0</x:v>
      </x:c>
      <x:c r="E491" s="73" t="str">
        <x:v>tenants/register</x:v>
      </x:c>
      <x:c r="F491" s="73" t="str">
        <x:v>admin/tenants/register.html</x:v>
      </x:c>
      <x:c r="G491" s="73" t="str">
        <x:v>요금제/기능 선택</x:v>
      </x:c>
      <x:c r="H491" s="73" t="str">
        <x:v>생성 후 해당 기능만 접근 가능</x:v>
      </x:c>
      <x:c r="I491" s="81" t="str">
        <x:v>PASS</x:v>
      </x:c>
      <x:c r="J491" s="81" t="str">
        <x:v>성공</x:v>
      </x:c>
      <x:c r="K491" s="81" t="str">
        <x:v>수정 없음</x:v>
      </x:c>
      <x:c r="L491" s="73" t="str"/>
      <x:c r="M491" s="73" t="str"/>
      <x:c r="N491" s="73" t="str"/>
      <x:c r="O491" s="73" t="str">
        <x:v>기대 결과와 일치</x:v>
      </x:c>
      <x:c r="P491" s="73" t="str">
        <x:v>outputs/full-plan-20260719/94-admin-direct-fresh.json</x:v>
      </x:c>
    </x:row>
    <x:row r="492">
      <x:c r="A492" s="80" t="n">
        <x:v>488</x:v>
      </x:c>
      <x:c r="B492" s="81" t="str">
        <x:v>ADM-TEN-REG-007</x:v>
      </x:c>
      <x:c r="C492" s="73" t="str">
        <x:v>8.4 호텔사 등록 및 입점 신청</x:v>
      </x:c>
      <x:c r="D492" s="81" t="str">
        <x:v>P0</x:v>
      </x:c>
      <x:c r="E492" s="73" t="str">
        <x:v>tenants/register</x:v>
      </x:c>
      <x:c r="F492" s="73" t="str">
        <x:v>admin/tenants/register.html</x:v>
      </x:c>
      <x:c r="G492" s="73" t="str">
        <x:v>관리자 초대</x:v>
      </x:c>
      <x:c r="H492" s="73" t="str">
        <x:v>초대 상태/만료/재발송 정상</x:v>
      </x:c>
      <x:c r="I492" s="81" t="str">
        <x:v>BLOCKED</x:v>
      </x:c>
      <x:c r="J492" s="81" t="str">
        <x:v>차단</x:v>
      </x:c>
      <x:c r="K492" s="81" t="str">
        <x:v>검증 차단</x:v>
      </x:c>
      <x:c r="L492" s="73" t="str"/>
      <x:c r="M492" s="73" t="str">
        <x:v>실제 메일 발송·수신 환경이 연결되지 않음</x:v>
      </x:c>
      <x:c r="N492" s="73" t="str"/>
      <x:c r="O492" s="73" t="str">
        <x:v>화면·데이터·브라우저 단계까지 확인했으나 외부 메일 검증은 외부 환경이 필요함</x:v>
      </x:c>
      <x:c r="P492" s="73" t="str">
        <x:v>outputs/full-plan-20260719/94-admin-direct-fresh.json</x:v>
      </x:c>
    </x:row>
    <x:row r="493">
      <x:c r="A493" s="80" t="n">
        <x:v>489</x:v>
      </x:c>
      <x:c r="B493" s="81" t="str">
        <x:v>ADM-TEN-REG-008</x:v>
      </x:c>
      <x:c r="C493" s="73" t="str">
        <x:v>8.4 호텔사 등록 및 입점 신청</x:v>
      </x:c>
      <x:c r="D493" s="81" t="str">
        <x:v>P1</x:v>
      </x:c>
      <x:c r="E493" s="73" t="str">
        <x:v>tenants/register</x:v>
      </x:c>
      <x:c r="F493" s="73" t="str">
        <x:v>admin/tenants/register.html</x:v>
      </x:c>
      <x:c r="G493" s="73" t="str">
        <x:v>취소/이탈</x:v>
      </x:c>
      <x:c r="H493" s="73" t="str">
        <x:v>미완성 Tenant가 남지 않음</x:v>
      </x:c>
      <x:c r="I493" s="81" t="str">
        <x:v>PASS</x:v>
      </x:c>
      <x:c r="J493" s="81" t="str">
        <x:v>성공</x:v>
      </x:c>
      <x:c r="K493" s="81" t="str">
        <x:v>수정 없음</x:v>
      </x:c>
      <x:c r="L493" s="73" t="str"/>
      <x:c r="M493" s="73" t="str"/>
      <x:c r="N493" s="73" t="str"/>
      <x:c r="O493" s="73" t="str">
        <x:v>기대 결과와 일치</x:v>
      </x:c>
      <x:c r="P493" s="73" t="str">
        <x:v>outputs/full-plan-20260719/94-admin-direct-fresh.json</x:v>
      </x:c>
    </x:row>
    <x:row r="494">
      <x:c r="A494" s="80" t="n">
        <x:v>490</x:v>
      </x:c>
      <x:c r="B494" s="81" t="str">
        <x:v>ADM-TEN-REG-009</x:v>
      </x:c>
      <x:c r="C494" s="73" t="str">
        <x:v>8.4 호텔사 등록 및 입점 신청</x:v>
      </x:c>
      <x:c r="D494" s="81" t="str">
        <x:v>P1</x:v>
      </x:c>
      <x:c r="E494" s="73" t="str">
        <x:v>tenants/register</x:v>
      </x:c>
      <x:c r="F494" s="73" t="str">
        <x:v>admin/tenants/register.html</x:v>
      </x:c>
      <x:c r="G494" s="73" t="str">
        <x:v>API 실패/재시도</x:v>
      </x:c>
      <x:c r="H494" s="73" t="str">
        <x:v>중복 생성 없이 재시도 가능</x:v>
      </x:c>
      <x:c r="I494" s="81" t="str">
        <x:v>PASS</x:v>
      </x:c>
      <x:c r="J494" s="81" t="str">
        <x:v>성공</x:v>
      </x:c>
      <x:c r="K494" s="81" t="str">
        <x:v>수정 없음</x:v>
      </x:c>
      <x:c r="L494" s="73" t="str"/>
      <x:c r="M494" s="73" t="str"/>
      <x:c r="N494" s="73" t="str"/>
      <x:c r="O494" s="73" t="str">
        <x:v>기대 결과와 일치</x:v>
      </x:c>
      <x:c r="P494" s="73" t="str">
        <x:v>outputs/full-plan-20260719/94-admin-direct-fresh.json</x:v>
      </x:c>
    </x:row>
    <x:row r="495">
      <x:c r="A495" s="80" t="n">
        <x:v>491</x:v>
      </x:c>
      <x:c r="B495" s="81" t="str">
        <x:v>ADM-TEN-REG-010</x:v>
      </x:c>
      <x:c r="C495" s="73" t="str">
        <x:v>8.4 호텔사 등록 및 입점 신청</x:v>
      </x:c>
      <x:c r="D495" s="81" t="str">
        <x:v>P1</x:v>
      </x:c>
      <x:c r="E495" s="73" t="str">
        <x:v>tenants/register</x:v>
      </x:c>
      <x:c r="F495" s="73" t="str">
        <x:v>admin/tenants/register.html</x:v>
      </x:c>
      <x:c r="G495" s="73" t="str">
        <x:v>KO/EN</x:v>
      </x:c>
      <x:c r="H495" s="73" t="str">
        <x:v>폼/검증문구/placeholder 모두 번역</x:v>
      </x:c>
      <x:c r="I495" s="81" t="str">
        <x:v>PASS</x:v>
      </x:c>
      <x:c r="J495" s="81" t="str">
        <x:v>성공</x:v>
      </x:c>
      <x:c r="K495" s="81" t="str">
        <x:v>수정 없음</x:v>
      </x:c>
      <x:c r="L495" s="73" t="str"/>
      <x:c r="M495" s="73" t="str"/>
      <x:c r="N495" s="73" t="str"/>
      <x:c r="O495" s="73" t="str">
        <x:v>기대 결과와 일치</x:v>
      </x:c>
      <x:c r="P495" s="73" t="str">
        <x:v>outputs/full-plan-20260719/94-admin-direct-fresh.json</x:v>
      </x:c>
    </x:row>
    <x:row r="496">
      <x:c r="A496" s="80" t="n">
        <x:v>492</x:v>
      </x:c>
      <x:c r="B496" s="81" t="str">
        <x:v>ADM-TEN-REG-011</x:v>
      </x:c>
      <x:c r="C496" s="73" t="str">
        <x:v>8.4 호텔사 등록 및 입점 신청</x:v>
      </x:c>
      <x:c r="D496" s="81" t="str">
        <x:v>P1</x:v>
      </x:c>
      <x:c r="E496" s="73" t="str">
        <x:v>tenants/register</x:v>
      </x:c>
      <x:c r="F496" s="73" t="str">
        <x:v>admin/tenants/register.html</x:v>
      </x:c>
      <x:c r="G496" s="73" t="str">
        <x:v>모바일/태블릿</x:v>
      </x:c>
      <x:c r="H496" s="73" t="str">
        <x:v>단계와 저장 액션 접근 가능</x:v>
      </x:c>
      <x:c r="I496" s="81" t="str">
        <x:v>PASS</x:v>
      </x:c>
      <x:c r="J496" s="81" t="str">
        <x:v>성공</x:v>
      </x:c>
      <x:c r="K496" s="81" t="str">
        <x:v>수정 없음</x:v>
      </x:c>
      <x:c r="L496" s="73" t="str"/>
      <x:c r="M496" s="73" t="str"/>
      <x:c r="N496" s="73" t="str"/>
      <x:c r="O496" s="73" t="str">
        <x:v>기대 결과와 일치</x:v>
      </x:c>
      <x:c r="P496" s="73" t="str">
        <x:v>outputs/full-plan-20260719/94-admin-direct-fresh.json</x:v>
      </x:c>
    </x:row>
    <x:row r="497">
      <x:c r="A497" s="80" t="n">
        <x:v>493</x:v>
      </x:c>
      <x:c r="B497" s="81" t="str">
        <x:v>ADM-TEN-REG-012</x:v>
      </x:c>
      <x:c r="C497" s="73" t="str">
        <x:v>8.4 호텔사 등록 및 입점 신청</x:v>
      </x:c>
      <x:c r="D497" s="81" t="str">
        <x:v>P1</x:v>
      </x:c>
      <x:c r="E497" s="73" t="str">
        <x:v>tenants/register</x:v>
      </x:c>
      <x:c r="F497" s="73" t="str">
        <x:v>admin/tenants/register.html</x:v>
      </x:c>
      <x:c r="G497" s="73" t="str">
        <x:v>생성 후 목록/상세</x:v>
      </x:c>
      <x:c r="H497" s="73" t="str">
        <x:v>새 호텔 데이터와 상태 일치</x:v>
      </x:c>
      <x:c r="I497" s="81" t="str">
        <x:v>PASS</x:v>
      </x:c>
      <x:c r="J497" s="81" t="str">
        <x:v>성공</x:v>
      </x:c>
      <x:c r="K497" s="81" t="str">
        <x:v>수정 없음</x:v>
      </x:c>
      <x:c r="L497" s="73" t="str"/>
      <x:c r="M497" s="73" t="str"/>
      <x:c r="N497" s="73" t="str"/>
      <x:c r="O497" s="73" t="str">
        <x:v>기대 결과와 일치</x:v>
      </x:c>
      <x:c r="P497" s="73" t="str">
        <x:v>outputs/full-plan-20260719/94-admin-direct-fresh.json</x:v>
      </x:c>
    </x:row>
    <x:row r="498">
      <x:c r="A498" s="80" t="n">
        <x:v>494</x:v>
      </x:c>
      <x:c r="B498" s="81" t="str">
        <x:v>ADM-TEN-APPLY-001</x:v>
      </x:c>
      <x:c r="C498" s="73" t="str">
        <x:v>8.4 호텔사 등록 및 입점 신청</x:v>
      </x:c>
      <x:c r="D498" s="81" t="str">
        <x:v>P0</x:v>
      </x:c>
      <x:c r="E498" s="73" t="str">
        <x:v>tenants/apply</x:v>
      </x:c>
      <x:c r="F498" s="73" t="str">
        <x:v>admin/tenants/apply.html</x:v>
      </x:c>
      <x:c r="G498" s="73" t="str">
        <x:v>신청 목록/상세</x:v>
      </x:c>
      <x:c r="H498" s="73" t="str">
        <x:v>신청사/담당자/호텔/상태/제출일 정확</x:v>
      </x:c>
      <x:c r="I498" s="81" t="str">
        <x:v>PASS</x:v>
      </x:c>
      <x:c r="J498" s="81" t="str">
        <x:v>성공</x:v>
      </x:c>
      <x:c r="K498" s="81" t="str">
        <x:v>수정 없음</x:v>
      </x:c>
      <x:c r="L498" s="73" t="str"/>
      <x:c r="M498" s="73" t="str"/>
      <x:c r="N498" s="73" t="str"/>
      <x:c r="O498" s="73" t="str">
        <x:v>기대 결과와 일치</x:v>
      </x:c>
      <x:c r="P498" s="73" t="str">
        <x:v>outputs/full-plan-20260719/94-admin-direct-fresh.json</x:v>
      </x:c>
    </x:row>
    <x:row r="499">
      <x:c r="A499" s="80" t="n">
        <x:v>495</x:v>
      </x:c>
      <x:c r="B499" s="81" t="str">
        <x:v>ADM-TEN-APPLY-002</x:v>
      </x:c>
      <x:c r="C499" s="73" t="str">
        <x:v>8.4 호텔사 등록 및 입점 신청</x:v>
      </x:c>
      <x:c r="D499" s="81" t="str">
        <x:v>P0</x:v>
      </x:c>
      <x:c r="E499" s="73" t="str">
        <x:v>tenants/apply</x:v>
      </x:c>
      <x:c r="F499" s="73" t="str">
        <x:v>admin/tenants/apply.html</x:v>
      </x:c>
      <x:c r="G499" s="73" t="str">
        <x:v>승인</x:v>
      </x:c>
      <x:c r="H499" s="73" t="str">
        <x:v>호텔/파트너 생성, 승인 이력과 알림 발송</x:v>
      </x:c>
      <x:c r="I499" s="81" t="str">
        <x:v>PASS</x:v>
      </x:c>
      <x:c r="J499" s="81" t="str">
        <x:v>성공</x:v>
      </x:c>
      <x:c r="K499" s="81" t="str">
        <x:v>수정 없음</x:v>
      </x:c>
      <x:c r="L499" s="73" t="str"/>
      <x:c r="M499" s="73" t="str"/>
      <x:c r="N499" s="73" t="str"/>
      <x:c r="O499" s="73" t="str">
        <x:v>기대 결과와 일치</x:v>
      </x:c>
      <x:c r="P499" s="73" t="str">
        <x:v>outputs/full-plan-20260719/94-admin-direct-fresh.json</x:v>
      </x:c>
    </x:row>
    <x:row r="500">
      <x:c r="A500" s="80" t="n">
        <x:v>496</x:v>
      </x:c>
      <x:c r="B500" s="81" t="str">
        <x:v>ADM-TEN-APPLY-003</x:v>
      </x:c>
      <x:c r="C500" s="73" t="str">
        <x:v>8.4 호텔사 등록 및 입점 신청</x:v>
      </x:c>
      <x:c r="D500" s="81" t="str">
        <x:v>P0</x:v>
      </x:c>
      <x:c r="E500" s="73" t="str">
        <x:v>tenants/apply</x:v>
      </x:c>
      <x:c r="F500" s="73" t="str">
        <x:v>admin/tenants/apply.html</x:v>
      </x:c>
      <x:c r="G500" s="73" t="str">
        <x:v>반려</x:v>
      </x:c>
      <x:c r="H500" s="73" t="str">
        <x:v>사유 필수, 상태/알림/재신청 정책 적용</x:v>
      </x:c>
      <x:c r="I500" s="81" t="str">
        <x:v>PASS</x:v>
      </x:c>
      <x:c r="J500" s="81" t="str">
        <x:v>성공</x:v>
      </x:c>
      <x:c r="K500" s="81" t="str">
        <x:v>수정 없음</x:v>
      </x:c>
      <x:c r="L500" s="73" t="str"/>
      <x:c r="M500" s="73" t="str"/>
      <x:c r="N500" s="73" t="str"/>
      <x:c r="O500" s="73" t="str">
        <x:v>기대 결과와 일치</x:v>
      </x:c>
      <x:c r="P500" s="73" t="str">
        <x:v>outputs/full-plan-20260719/94-admin-direct-fresh.json</x:v>
      </x:c>
    </x:row>
    <x:row r="501">
      <x:c r="A501" s="80" t="n">
        <x:v>497</x:v>
      </x:c>
      <x:c r="B501" s="81" t="str">
        <x:v>ADM-TEN-APPLY-004</x:v>
      </x:c>
      <x:c r="C501" s="73" t="str">
        <x:v>8.4 호텔사 등록 및 입점 신청</x:v>
      </x:c>
      <x:c r="D501" s="81" t="str">
        <x:v>P0</x:v>
      </x:c>
      <x:c r="E501" s="73" t="str">
        <x:v>tenants/apply</x:v>
      </x:c>
      <x:c r="F501" s="73" t="str">
        <x:v>admin/tenants/apply.html</x:v>
      </x:c>
      <x:c r="G501" s="73" t="str">
        <x:v>중복 신청</x:v>
      </x:c>
      <x:c r="H501" s="73" t="str">
        <x:v>기존 호텔/신청과 중복 경고</x:v>
      </x:c>
      <x:c r="I501" s="81" t="str">
        <x:v>PASS</x:v>
      </x:c>
      <x:c r="J501" s="81" t="str">
        <x:v>성공</x:v>
      </x:c>
      <x:c r="K501" s="81" t="str">
        <x:v>수정 완료</x:v>
      </x:c>
      <x:c r="L501" s="73" t="str">
        <x:v>호텔 상세·입점·상태 변경 흐름의 저장 및 재진입 검증을 보완</x:v>
      </x:c>
      <x:c r="M501" s="73" t="str"/>
      <x:c r="N501" s="73" t="str">
        <x:v>기대 결과 전체를 증명하는 전용 assertion 또는 구현 신호가 없음</x:v>
      </x:c>
      <x:c r="O501" s="73" t="str">
        <x:v>수정 후 동일 케이스를 재실행하여 기대 결과와 일치함</x:v>
      </x:c>
      <x:c r="P501" s="73" t="str">
        <x:v>outputs/full-plan-20260719/94-admin-direct-fresh.json</x:v>
      </x:c>
    </x:row>
    <x:row r="502">
      <x:c r="A502" s="80" t="n">
        <x:v>498</x:v>
      </x:c>
      <x:c r="B502" s="81" t="str">
        <x:v>ADM-TEN-APPLY-005</x:v>
      </x:c>
      <x:c r="C502" s="73" t="str">
        <x:v>8.4 호텔사 등록 및 입점 신청</x:v>
      </x:c>
      <x:c r="D502" s="81" t="str">
        <x:v>P0</x:v>
      </x:c>
      <x:c r="E502" s="73" t="str">
        <x:v>tenants/apply</x:v>
      </x:c>
      <x:c r="F502" s="73" t="str">
        <x:v>admin/tenants/apply.html</x:v>
      </x:c>
      <x:c r="G502" s="73" t="str">
        <x:v>승인 연속 클릭</x:v>
      </x:c>
      <x:c r="H502" s="73" t="str">
        <x:v>호텔 중복 생성 방지</x:v>
      </x:c>
      <x:c r="I502" s="81" t="str">
        <x:v>PASS</x:v>
      </x:c>
      <x:c r="J502" s="81" t="str">
        <x:v>성공</x:v>
      </x:c>
      <x:c r="K502" s="81" t="str">
        <x:v>수정 없음</x:v>
      </x:c>
      <x:c r="L502" s="73" t="str"/>
      <x:c r="M502" s="73" t="str"/>
      <x:c r="N502" s="73" t="str"/>
      <x:c r="O502" s="73" t="str">
        <x:v>기대 결과와 일치</x:v>
      </x:c>
      <x:c r="P502" s="73" t="str">
        <x:v>outputs/full-plan-20260719/94-admin-direct-fresh.json</x:v>
      </x:c>
    </x:row>
    <x:row r="503">
      <x:c r="A503" s="80" t="n">
        <x:v>499</x:v>
      </x:c>
      <x:c r="B503" s="81" t="str">
        <x:v>ADM-TEN-APPLY-006</x:v>
      </x:c>
      <x:c r="C503" s="73" t="str">
        <x:v>8.4 호텔사 등록 및 입점 신청</x:v>
      </x:c>
      <x:c r="D503" s="81" t="str">
        <x:v>P1</x:v>
      </x:c>
      <x:c r="E503" s="73" t="str">
        <x:v>tenants/apply</x:v>
      </x:c>
      <x:c r="F503" s="73" t="str">
        <x:v>admin/tenants/apply.html</x:v>
      </x:c>
      <x:c r="G503" s="73" t="str">
        <x:v>상태/기간/검색</x:v>
      </x:c>
      <x:c r="H503" s="73" t="str">
        <x:v>건수와 결과 일치</x:v>
      </x:c>
      <x:c r="I503" s="81" t="str">
        <x:v>PASS</x:v>
      </x:c>
      <x:c r="J503" s="81" t="str">
        <x:v>성공</x:v>
      </x:c>
      <x:c r="K503" s="81" t="str">
        <x:v>수정 없음</x:v>
      </x:c>
      <x:c r="L503" s="73" t="str"/>
      <x:c r="M503" s="73" t="str"/>
      <x:c r="N503" s="73" t="str"/>
      <x:c r="O503" s="73" t="str">
        <x:v>기대 결과와 일치</x:v>
      </x:c>
      <x:c r="P503" s="73" t="str">
        <x:v>outputs/full-plan-20260719/94-admin-direct-fresh.json</x:v>
      </x:c>
    </x:row>
    <x:row r="504">
      <x:c r="A504" s="80" t="n">
        <x:v>500</x:v>
      </x:c>
      <x:c r="B504" s="81" t="str">
        <x:v>ADM-TEN-APPLY-007</x:v>
      </x:c>
      <x:c r="C504" s="73" t="str">
        <x:v>8.4 호텔사 등록 및 입점 신청</x:v>
      </x:c>
      <x:c r="D504" s="81" t="str">
        <x:v>P1</x:v>
      </x:c>
      <x:c r="E504" s="73" t="str">
        <x:v>tenants/apply</x:v>
      </x:c>
      <x:c r="F504" s="73" t="str">
        <x:v>admin/tenants/apply.html</x:v>
      </x:c>
      <x:c r="G504" s="73" t="str">
        <x:v>첨부 서류</x:v>
      </x:c>
      <x:c r="H504" s="73" t="str">
        <x:v>권한 확인 후 열기/다운로드</x:v>
      </x:c>
      <x:c r="I504" s="81" t="str">
        <x:v>PASS</x:v>
      </x:c>
      <x:c r="J504" s="81" t="str">
        <x:v>성공</x:v>
      </x:c>
      <x:c r="K504" s="81" t="str">
        <x:v>수정 없음</x:v>
      </x:c>
      <x:c r="L504" s="73" t="str"/>
      <x:c r="M504" s="73" t="str"/>
      <x:c r="N504" s="73" t="str"/>
      <x:c r="O504" s="73" t="str">
        <x:v>기대 결과와 일치</x:v>
      </x:c>
      <x:c r="P504" s="73" t="str">
        <x:v>outputs/full-plan-20260719/94-admin-direct-fresh.json</x:v>
      </x:c>
    </x:row>
    <x:row r="505">
      <x:c r="A505" s="80" t="n">
        <x:v>501</x:v>
      </x:c>
      <x:c r="B505" s="81" t="str">
        <x:v>ADM-TEN-APPLY-008</x:v>
      </x:c>
      <x:c r="C505" s="73" t="str">
        <x:v>8.4 호텔사 등록 및 입점 신청</x:v>
      </x:c>
      <x:c r="D505" s="81" t="str">
        <x:v>P1</x:v>
      </x:c>
      <x:c r="E505" s="73" t="str">
        <x:v>tenants/apply</x:v>
      </x:c>
      <x:c r="F505" s="73" t="str">
        <x:v>admin/tenants/apply.html</x:v>
      </x:c>
      <x:c r="G505" s="73" t="str">
        <x:v>담당자 배정</x:v>
      </x:c>
      <x:c r="H505" s="73" t="str">
        <x:v>저장 후 목록/상세 반영</x:v>
      </x:c>
      <x:c r="I505" s="81" t="str">
        <x:v>PASS</x:v>
      </x:c>
      <x:c r="J505" s="81" t="str">
        <x:v>성공</x:v>
      </x:c>
      <x:c r="K505" s="81" t="str">
        <x:v>수정 없음</x:v>
      </x:c>
      <x:c r="L505" s="73" t="str"/>
      <x:c r="M505" s="73" t="str"/>
      <x:c r="N505" s="73" t="str"/>
      <x:c r="O505" s="73" t="str">
        <x:v>기대 결과와 일치</x:v>
      </x:c>
      <x:c r="P505" s="73" t="str">
        <x:v>outputs/full-plan-20260719/94-admin-direct-fresh.json</x:v>
      </x:c>
    </x:row>
    <x:row r="506">
      <x:c r="A506" s="80" t="n">
        <x:v>502</x:v>
      </x:c>
      <x:c r="B506" s="81" t="str">
        <x:v>ADM-TEN-APPLY-009</x:v>
      </x:c>
      <x:c r="C506" s="73" t="str">
        <x:v>8.4 호텔사 등록 및 입점 신청</x:v>
      </x:c>
      <x:c r="D506" s="81" t="str">
        <x:v>P1</x:v>
      </x:c>
      <x:c r="E506" s="73" t="str">
        <x:v>tenants/apply</x:v>
      </x:c>
      <x:c r="F506" s="73" t="str">
        <x:v>admin/tenants/apply.html</x:v>
      </x:c>
      <x:c r="G506" s="73" t="str">
        <x:v>KO/EN</x:v>
      </x:c>
      <x:c r="H506" s="73" t="str">
        <x:v>시스템 라벨 번역, 신청 입력 원문 유지</x:v>
      </x:c>
      <x:c r="I506" s="81" t="str">
        <x:v>PASS</x:v>
      </x:c>
      <x:c r="J506" s="81" t="str">
        <x:v>성공</x:v>
      </x:c>
      <x:c r="K506" s="81" t="str">
        <x:v>수정 없음</x:v>
      </x:c>
      <x:c r="L506" s="73" t="str"/>
      <x:c r="M506" s="73" t="str"/>
      <x:c r="N506" s="73" t="str"/>
      <x:c r="O506" s="73" t="str">
        <x:v>기대 결과와 일치</x:v>
      </x:c>
      <x:c r="P506" s="73" t="str">
        <x:v>outputs/full-plan-20260719/94-admin-direct-fresh.json</x:v>
      </x:c>
    </x:row>
    <x:row r="507">
      <x:c r="A507" s="80" t="n">
        <x:v>503</x:v>
      </x:c>
      <x:c r="B507" s="81" t="str">
        <x:v>ADM-TEN-APPLY-010</x:v>
      </x:c>
      <x:c r="C507" s="73" t="str">
        <x:v>8.4 호텔사 등록 및 입점 신청</x:v>
      </x:c>
      <x:c r="D507" s="81" t="str">
        <x:v>P1</x:v>
      </x:c>
      <x:c r="E507" s="73" t="str">
        <x:v>tenants/apply</x:v>
      </x:c>
      <x:c r="F507" s="73" t="str">
        <x:v>admin/tenants/apply.html</x:v>
      </x:c>
      <x:c r="G507" s="73" t="str">
        <x:v>모바일</x:v>
      </x:c>
      <x:c r="H507" s="73" t="str">
        <x:v>승인/반려 확인 절차와 상세 접근 가능</x:v>
      </x:c>
      <x:c r="I507" s="81" t="str">
        <x:v>PASS</x:v>
      </x:c>
      <x:c r="J507" s="81" t="str">
        <x:v>성공</x:v>
      </x:c>
      <x:c r="K507" s="81" t="str">
        <x:v>수정 없음</x:v>
      </x:c>
      <x:c r="L507" s="73" t="str"/>
      <x:c r="M507" s="73" t="str"/>
      <x:c r="N507" s="73" t="str"/>
      <x:c r="O507" s="73" t="str">
        <x:v>기대 결과와 일치</x:v>
      </x:c>
      <x:c r="P507" s="73" t="str">
        <x:v>outputs/full-plan-20260719/94-admin-direct-fresh.json</x:v>
      </x:c>
    </x:row>
    <x:row r="508">
      <x:c r="A508" s="80" t="n">
        <x:v>504</x:v>
      </x:c>
      <x:c r="B508" s="81" t="str">
        <x:v>ADM-ADS-LIST-001</x:v>
      </x:c>
      <x:c r="C508" s="73" t="str">
        <x:v>8.5 광고 캠페인</x:v>
      </x:c>
      <x:c r="D508" s="81" t="str">
        <x:v>P0</x:v>
      </x:c>
      <x:c r="E508" s="73" t="str">
        <x:v>ads/campaigns</x:v>
      </x:c>
      <x:c r="F508" s="73" t="str">
        <x:v>admin/ads/campaigns.html</x:v>
      </x:c>
      <x:c r="G508" s="73" t="str">
        <x:v>캠페인 목록</x:v>
      </x:c>
      <x:c r="H508" s="73" t="str">
        <x:v>광고주/이벤트명/기간/상태/노출/비용 정확</x:v>
      </x:c>
      <x:c r="I508" s="81" t="str">
        <x:v>PASS</x:v>
      </x:c>
      <x:c r="J508" s="81" t="str">
        <x:v>성공</x:v>
      </x:c>
      <x:c r="K508" s="81" t="str">
        <x:v>수정 없음</x:v>
      </x:c>
      <x:c r="L508" s="73" t="str"/>
      <x:c r="M508" s="73" t="str"/>
      <x:c r="N508" s="73" t="str"/>
      <x:c r="O508" s="73" t="str">
        <x:v>기대 결과와 일치</x:v>
      </x:c>
      <x:c r="P508" s="73" t="str">
        <x:v>outputs/full-plan-20260719/95-admin-remaining-fresh.json</x:v>
      </x:c>
    </x:row>
    <x:row r="509">
      <x:c r="A509" s="80" t="n">
        <x:v>505</x:v>
      </x:c>
      <x:c r="B509" s="81" t="str">
        <x:v>ADM-ADS-LIST-002</x:v>
      </x:c>
      <x:c r="C509" s="73" t="str">
        <x:v>8.5 광고 캠페인</x:v>
      </x:c>
      <x:c r="D509" s="81" t="str">
        <x:v>P0</x:v>
      </x:c>
      <x:c r="E509" s="73" t="str">
        <x:v>ads/campaigns</x:v>
      </x:c>
      <x:c r="F509" s="73" t="str">
        <x:v>admin/ads/campaigns.html</x:v>
      </x:c>
      <x:c r="G509" s="73" t="str">
        <x:v>검색/상태/유형/기간 필터</x:v>
      </x:c>
      <x:c r="H509" s="73" t="str">
        <x:v>결과와 건수 일치</x:v>
      </x:c>
      <x:c r="I509" s="81" t="str">
        <x:v>PASS</x:v>
      </x:c>
      <x:c r="J509" s="81" t="str">
        <x:v>성공</x:v>
      </x:c>
      <x:c r="K509" s="81" t="str">
        <x:v>수정 없음</x:v>
      </x:c>
      <x:c r="L509" s="73" t="str"/>
      <x:c r="M509" s="73" t="str"/>
      <x:c r="N509" s="73" t="str"/>
      <x:c r="O509" s="73" t="str">
        <x:v>기대 결과와 일치</x:v>
      </x:c>
      <x:c r="P509" s="73" t="str">
        <x:v>outputs/full-plan-20260719/95-admin-remaining-fresh.json</x:v>
      </x:c>
    </x:row>
    <x:row r="510">
      <x:c r="A510" s="80" t="n">
        <x:v>506</x:v>
      </x:c>
      <x:c r="B510" s="81" t="str">
        <x:v>ADM-ADS-LIST-003</x:v>
      </x:c>
      <x:c r="C510" s="73" t="str">
        <x:v>8.5 광고 캠페인</x:v>
      </x:c>
      <x:c r="D510" s="81" t="str">
        <x:v>P0</x:v>
      </x:c>
      <x:c r="E510" s="73" t="str">
        <x:v>ads/campaigns</x:v>
      </x:c>
      <x:c r="F510" s="73" t="str">
        <x:v>admin/ads/campaigns.html</x:v>
      </x:c>
      <x:c r="G510" s="73" t="str">
        <x:v>행/상세 클릭</x:v>
      </x:c>
      <x:c r="H510" s="73" t="str">
        <x:v>정확한 캠페인 상세 열림</x:v>
      </x:c>
      <x:c r="I510" s="81" t="str">
        <x:v>PASS</x:v>
      </x:c>
      <x:c r="J510" s="81" t="str">
        <x:v>성공</x:v>
      </x:c>
      <x:c r="K510" s="81" t="str">
        <x:v>수정 완료</x:v>
      </x:c>
      <x:c r="L510" s="73" t="str">
        <x:v>광고 캠페인 CRUD·타게팅·과금 설정의 이벤트와 저장 검증을 보완</x:v>
      </x:c>
      <x:c r="M510" s="73" t="str"/>
      <x:c r="N510" s="73" t="str">
        <x:v>기대 결과 전체를 증명하는 전용 assertion 또는 구현 신호가 없음</x:v>
      </x:c>
      <x:c r="O510" s="73" t="str">
        <x:v>수정 후 동일 케이스를 재실행하여 기대 결과와 일치함</x:v>
      </x:c>
      <x:c r="P510" s="73" t="str">
        <x:v>outputs/full-plan-20260719/95-admin-remaining-fresh.json</x:v>
      </x:c>
    </x:row>
    <x:row r="511">
      <x:c r="A511" s="80" t="n">
        <x:v>507</x:v>
      </x:c>
      <x:c r="B511" s="81" t="str">
        <x:v>ADM-ADS-LIST-004</x:v>
      </x:c>
      <x:c r="C511" s="73" t="str">
        <x:v>8.5 광고 캠페인</x:v>
      </x:c>
      <x:c r="D511" s="81" t="str">
        <x:v>P0</x:v>
      </x:c>
      <x:c r="E511" s="73" t="str">
        <x:v>ads/campaigns</x:v>
      </x:c>
      <x:c r="F511" s="73" t="str">
        <x:v>admin/ads/campaigns.html</x:v>
      </x:c>
      <x:c r="G511" s="73" t="str">
        <x:v>시작/중지/종료</x:v>
      </x:c>
      <x:c r="H511" s="73" t="str">
        <x:v>유효한 상태 전이만 허용하고 노출에 반영</x:v>
      </x:c>
      <x:c r="I511" s="81" t="str">
        <x:v>PASS</x:v>
      </x:c>
      <x:c r="J511" s="81" t="str">
        <x:v>성공</x:v>
      </x:c>
      <x:c r="K511" s="81" t="str">
        <x:v>수정 없음</x:v>
      </x:c>
      <x:c r="L511" s="73" t="str"/>
      <x:c r="M511" s="73" t="str"/>
      <x:c r="N511" s="73" t="str"/>
      <x:c r="O511" s="73" t="str">
        <x:v>기대 결과와 일치</x:v>
      </x:c>
      <x:c r="P511" s="73" t="str">
        <x:v>outputs/full-plan-20260719/95-admin-remaining-fresh.json</x:v>
      </x:c>
    </x:row>
    <x:row r="512">
      <x:c r="A512" s="80" t="n">
        <x:v>508</x:v>
      </x:c>
      <x:c r="B512" s="81" t="str">
        <x:v>ADM-ADS-LIST-005</x:v>
      </x:c>
      <x:c r="C512" s="73" t="str">
        <x:v>8.5 광고 캠페인</x:v>
      </x:c>
      <x:c r="D512" s="81" t="str">
        <x:v>P0</x:v>
      </x:c>
      <x:c r="E512" s="73" t="str">
        <x:v>ads/campaigns</x:v>
      </x:c>
      <x:c r="F512" s="73" t="str">
        <x:v>admin/ads/campaigns.html</x:v>
      </x:c>
      <x:c r="G512" s="73" t="str">
        <x:v>삭제</x:v>
      </x:c>
      <x:c r="H512" s="73" t="str">
        <x:v>집행 이력이 있으면 비활성/보관 정책 적용</x:v>
      </x:c>
      <x:c r="I512" s="81" t="str">
        <x:v>PASS</x:v>
      </x:c>
      <x:c r="J512" s="81" t="str">
        <x:v>성공</x:v>
      </x:c>
      <x:c r="K512" s="81" t="str">
        <x:v>수정 없음</x:v>
      </x:c>
      <x:c r="L512" s="73" t="str"/>
      <x:c r="M512" s="73" t="str"/>
      <x:c r="N512" s="73" t="str"/>
      <x:c r="O512" s="73" t="str">
        <x:v>기대 결과와 일치</x:v>
      </x:c>
      <x:c r="P512" s="73" t="str">
        <x:v>outputs/full-plan-20260719/95-admin-remaining-fresh.json</x:v>
      </x:c>
    </x:row>
    <x:row r="513">
      <x:c r="A513" s="80" t="n">
        <x:v>509</x:v>
      </x:c>
      <x:c r="B513" s="81" t="str">
        <x:v>ADM-ADS-LIST-006</x:v>
      </x:c>
      <x:c r="C513" s="73" t="str">
        <x:v>8.5 광고 캠페인</x:v>
      </x:c>
      <x:c r="D513" s="81" t="str">
        <x:v>P1</x:v>
      </x:c>
      <x:c r="E513" s="73" t="str">
        <x:v>ads/campaigns</x:v>
      </x:c>
      <x:c r="F513" s="73" t="str">
        <x:v>admin/ads/campaigns.html</x:v>
      </x:c>
      <x:c r="G513" s="73" t="str">
        <x:v>KPI/정렬/페이지</x:v>
      </x:c>
      <x:c r="H513" s="73" t="str">
        <x:v>목록 데이터와 일치</x:v>
      </x:c>
      <x:c r="I513" s="81" t="str">
        <x:v>PASS</x:v>
      </x:c>
      <x:c r="J513" s="81" t="str">
        <x:v>성공</x:v>
      </x:c>
      <x:c r="K513" s="81" t="str">
        <x:v>수정 없음</x:v>
      </x:c>
      <x:c r="L513" s="73" t="str"/>
      <x:c r="M513" s="73" t="str"/>
      <x:c r="N513" s="73" t="str"/>
      <x:c r="O513" s="73" t="str">
        <x:v>기대 결과와 일치</x:v>
      </x:c>
      <x:c r="P513" s="73" t="str">
        <x:v>outputs/full-plan-20260719/95-admin-remaining-fresh.json</x:v>
      </x:c>
    </x:row>
    <x:row r="514">
      <x:c r="A514" s="80" t="n">
        <x:v>510</x:v>
      </x:c>
      <x:c r="B514" s="81" t="str">
        <x:v>ADM-ADS-LIST-007</x:v>
      </x:c>
      <x:c r="C514" s="73" t="str">
        <x:v>8.5 광고 캠페인</x:v>
      </x:c>
      <x:c r="D514" s="81" t="str">
        <x:v>P1</x:v>
      </x:c>
      <x:c r="E514" s="73" t="str">
        <x:v>ads/campaigns</x:v>
      </x:c>
      <x:c r="F514" s="73" t="str">
        <x:v>admin/ads/campaigns.html</x:v>
      </x:c>
      <x:c r="G514" s="73" t="str">
        <x:v>이미지 실패</x:v>
      </x:c>
      <x:c r="H514" s="73" t="str">
        <x:v>대체 이미지와 상태 안내</x:v>
      </x:c>
      <x:c r="I514" s="81" t="str">
        <x:v>PASS</x:v>
      </x:c>
      <x:c r="J514" s="81" t="str">
        <x:v>성공</x:v>
      </x:c>
      <x:c r="K514" s="81" t="str">
        <x:v>수정 완료</x:v>
      </x:c>
      <x:c r="L514" s="73" t="str">
        <x:v>광고 캠페인 CRUD·타게팅·과금 설정의 이벤트와 저장 검증을 보완</x:v>
      </x:c>
      <x:c r="M514" s="73" t="str"/>
      <x:c r="N514" s="73" t="str">
        <x:v>기대 결과 전체를 증명하는 전용 assertion 또는 구현 신호가 없음</x:v>
      </x:c>
      <x:c r="O514" s="73" t="str">
        <x:v>수정 후 동일 케이스를 재실행하여 기대 결과와 일치함</x:v>
      </x:c>
      <x:c r="P514" s="73" t="str">
        <x:v>outputs/full-plan-20260719/95-admin-remaining-fresh.json</x:v>
      </x:c>
    </x:row>
    <x:row r="515">
      <x:c r="A515" s="80" t="n">
        <x:v>511</x:v>
      </x:c>
      <x:c r="B515" s="81" t="str">
        <x:v>ADM-ADS-LIST-008</x:v>
      </x:c>
      <x:c r="C515" s="73" t="str">
        <x:v>8.5 광고 캠페인</x:v>
      </x:c>
      <x:c r="D515" s="81" t="str">
        <x:v>P1</x:v>
      </x:c>
      <x:c r="E515" s="73" t="str">
        <x:v>ads/campaigns</x:v>
      </x:c>
      <x:c r="F515" s="73" t="str">
        <x:v>admin/ads/campaigns.html</x:v>
      </x:c>
      <x:c r="G515" s="73" t="str">
        <x:v>KO/EN</x:v>
      </x:c>
      <x:c r="H515" s="73" t="str">
        <x:v>이벤트명 원문 유지, 시스템 라벨 번역</x:v>
      </x:c>
      <x:c r="I515" s="81" t="str">
        <x:v>PASS</x:v>
      </x:c>
      <x:c r="J515" s="81" t="str">
        <x:v>성공</x:v>
      </x:c>
      <x:c r="K515" s="81" t="str">
        <x:v>수정 없음</x:v>
      </x:c>
      <x:c r="L515" s="73" t="str"/>
      <x:c r="M515" s="73" t="str"/>
      <x:c r="N515" s="73" t="str"/>
      <x:c r="O515" s="73" t="str">
        <x:v>기대 결과와 일치</x:v>
      </x:c>
      <x:c r="P515" s="73" t="str">
        <x:v>outputs/full-plan-20260719/95-admin-remaining-fresh.json</x:v>
      </x:c>
    </x:row>
    <x:row r="516">
      <x:c r="A516" s="80" t="n">
        <x:v>512</x:v>
      </x:c>
      <x:c r="B516" s="81" t="str">
        <x:v>ADM-ADS-LIST-009</x:v>
      </x:c>
      <x:c r="C516" s="73" t="str">
        <x:v>8.5 광고 캠페인</x:v>
      </x:c>
      <x:c r="D516" s="81" t="str">
        <x:v>P1</x:v>
      </x:c>
      <x:c r="E516" s="73" t="str">
        <x:v>ads/campaigns</x:v>
      </x:c>
      <x:c r="F516" s="73" t="str">
        <x:v>admin/ads/campaigns.html</x:v>
      </x:c>
      <x:c r="G516" s="73" t="str">
        <x:v>모바일</x:v>
      </x:c>
      <x:c r="H516" s="73" t="str">
        <x:v>핵심 정보와 액션 접근 가능</x:v>
      </x:c>
      <x:c r="I516" s="81" t="str">
        <x:v>PASS</x:v>
      </x:c>
      <x:c r="J516" s="81" t="str">
        <x:v>성공</x:v>
      </x:c>
      <x:c r="K516" s="81" t="str">
        <x:v>수정 없음</x:v>
      </x:c>
      <x:c r="L516" s="73" t="str"/>
      <x:c r="M516" s="73" t="str"/>
      <x:c r="N516" s="73" t="str"/>
      <x:c r="O516" s="73" t="str">
        <x:v>기대 결과와 일치</x:v>
      </x:c>
      <x:c r="P516" s="73" t="str">
        <x:v>outputs/full-plan-20260719/95-admin-remaining-fresh.json</x:v>
      </x:c>
    </x:row>
    <x:row r="517">
      <x:c r="A517" s="80" t="n">
        <x:v>513</x:v>
      </x:c>
      <x:c r="B517" s="81" t="str">
        <x:v>ADM-ADS-LIST-010</x:v>
      </x:c>
      <x:c r="C517" s="73" t="str">
        <x:v>8.5 광고 캠페인</x:v>
      </x:c>
      <x:c r="D517" s="81" t="str">
        <x:v>P1</x:v>
      </x:c>
      <x:c r="E517" s="73" t="str">
        <x:v>ads/campaigns</x:v>
      </x:c>
      <x:c r="F517" s="73" t="str">
        <x:v>admin/ads/campaigns.html</x:v>
      </x:c>
      <x:c r="G517" s="73" t="str">
        <x:v>빈/오류 상태</x:v>
      </x:c>
      <x:c r="H517" s="73" t="str">
        <x:v>명확히 구분</x:v>
      </x:c>
      <x:c r="I517" s="81" t="str">
        <x:v>PASS</x:v>
      </x:c>
      <x:c r="J517" s="81" t="str">
        <x:v>성공</x:v>
      </x:c>
      <x:c r="K517" s="81" t="str">
        <x:v>수정 없음</x:v>
      </x:c>
      <x:c r="L517" s="73" t="str"/>
      <x:c r="M517" s="73" t="str"/>
      <x:c r="N517" s="73" t="str"/>
      <x:c r="O517" s="73" t="str">
        <x:v>기대 결과와 일치</x:v>
      </x:c>
      <x:c r="P517" s="73" t="str">
        <x:v>outputs/full-plan-20260719/95-admin-remaining-fresh.json</x:v>
      </x:c>
    </x:row>
    <x:row r="518">
      <x:c r="A518" s="80" t="n">
        <x:v>514</x:v>
      </x:c>
      <x:c r="B518" s="81" t="str">
        <x:v>ADM-ADS-NEW-001</x:v>
      </x:c>
      <x:c r="C518" s="73" t="str">
        <x:v>8.5 광고 캠페인</x:v>
      </x:c>
      <x:c r="D518" s="81" t="str">
        <x:v>P0</x:v>
      </x:c>
      <x:c r="E518" s="73" t="str">
        <x:v>ads/new</x:v>
      </x:c>
      <x:c r="F518" s="73" t="str">
        <x:v>admin/ads/new.html</x:v>
      </x:c>
      <x:c r="G518" s="73" t="str">
        <x:v>광고주/호텔 선택</x:v>
      </x:c>
      <x:c r="H518" s="73" t="str">
        <x:v>실제 Tenant/Partner만 선택 가능</x:v>
      </x:c>
      <x:c r="I518" s="81" t="str">
        <x:v>PASS</x:v>
      </x:c>
      <x:c r="J518" s="81" t="str">
        <x:v>성공</x:v>
      </x:c>
      <x:c r="K518" s="81" t="str">
        <x:v>수정 완료</x:v>
      </x:c>
      <x:c r="L518" s="73" t="str">
        <x:v>광고 캠페인 CRUD·타게팅·과금 설정의 이벤트와 저장 검증을 보완</x:v>
      </x:c>
      <x:c r="M518" s="73" t="str"/>
      <x:c r="N518" s="73" t="str">
        <x:v>기대 결과 전체를 증명하는 전용 assertion 또는 구현 신호가 없음</x:v>
      </x:c>
      <x:c r="O518" s="73" t="str">
        <x:v>수정 후 동일 케이스를 재실행하여 기대 결과와 일치함</x:v>
      </x:c>
      <x:c r="P518" s="73" t="str">
        <x:v>outputs/full-plan-20260719/95-admin-remaining-fresh.json</x:v>
      </x:c>
    </x:row>
    <x:row r="519">
      <x:c r="A519" s="80" t="n">
        <x:v>515</x:v>
      </x:c>
      <x:c r="B519" s="81" t="str">
        <x:v>ADM-ADS-NEW-002</x:v>
      </x:c>
      <x:c r="C519" s="73" t="str">
        <x:v>8.5 광고 캠페인</x:v>
      </x:c>
      <x:c r="D519" s="81" t="str">
        <x:v>P0</x:v>
      </x:c>
      <x:c r="E519" s="73" t="str">
        <x:v>ads/new</x:v>
      </x:c>
      <x:c r="F519" s="73" t="str">
        <x:v>admin/ads/new.html</x:v>
      </x:c>
      <x:c r="G519" s="73" t="str">
        <x:v>캠페인 기본정보 등록</x:v>
      </x:c>
      <x:c r="H519" s="73" t="str">
        <x:v>이벤트명/기간/예산/상태 저장</x:v>
      </x:c>
      <x:c r="I519" s="81" t="str">
        <x:v>PASS</x:v>
      </x:c>
      <x:c r="J519" s="81" t="str">
        <x:v>성공</x:v>
      </x:c>
      <x:c r="K519" s="81" t="str">
        <x:v>수정 없음</x:v>
      </x:c>
      <x:c r="L519" s="73" t="str"/>
      <x:c r="M519" s="73" t="str"/>
      <x:c r="N519" s="73" t="str"/>
      <x:c r="O519" s="73" t="str">
        <x:v>기대 결과와 일치</x:v>
      </x:c>
      <x:c r="P519" s="73" t="str">
        <x:v>outputs/full-plan-20260719/95-admin-remaining-fresh.json</x:v>
      </x:c>
    </x:row>
    <x:row r="520">
      <x:c r="A520" s="80" t="n">
        <x:v>516</x:v>
      </x:c>
      <x:c r="B520" s="81" t="str">
        <x:v>ADM-ADS-NEW-003</x:v>
      </x:c>
      <x:c r="C520" s="73" t="str">
        <x:v>8.5 광고 캠페인</x:v>
      </x:c>
      <x:c r="D520" s="81" t="str">
        <x:v>P0</x:v>
      </x:c>
      <x:c r="E520" s="73" t="str">
        <x:v>ads/new</x:v>
      </x:c>
      <x:c r="F520" s="73" t="str">
        <x:v>admin/ads/new.html</x:v>
      </x:c>
      <x:c r="G520" s="73" t="str">
        <x:v>카테고리별 이미지/내용</x:v>
      </x:c>
      <x:c r="H520" s="73" t="str">
        <x:v>골프/렌터카/음식점/기타에 맞는 이미지와 상세 저장</x:v>
      </x:c>
      <x:c r="I520" s="81" t="str">
        <x:v>PASS</x:v>
      </x:c>
      <x:c r="J520" s="81" t="str">
        <x:v>성공</x:v>
      </x:c>
      <x:c r="K520" s="81" t="str">
        <x:v>수정 없음</x:v>
      </x:c>
      <x:c r="L520" s="73" t="str"/>
      <x:c r="M520" s="73" t="str"/>
      <x:c r="N520" s="73" t="str"/>
      <x:c r="O520" s="73" t="str">
        <x:v>기대 결과와 일치</x:v>
      </x:c>
      <x:c r="P520" s="73" t="str">
        <x:v>outputs/full-plan-20260719/95-admin-remaining-fresh.json</x:v>
      </x:c>
    </x:row>
    <x:row r="521">
      <x:c r="A521" s="80" t="n">
        <x:v>517</x:v>
      </x:c>
      <x:c r="B521" s="81" t="str">
        <x:v>ADM-ADS-NEW-004</x:v>
      </x:c>
      <x:c r="C521" s="73" t="str">
        <x:v>8.5 광고 캠페인</x:v>
      </x:c>
      <x:c r="D521" s="81" t="str">
        <x:v>P0</x:v>
      </x:c>
      <x:c r="E521" s="73" t="str">
        <x:v>ads/new</x:v>
      </x:c>
      <x:c r="F521" s="73" t="str">
        <x:v>admin/ads/new.html</x:v>
      </x:c>
      <x:c r="G521" s="73" t="str">
        <x:v>기간 역전/예산 오류</x:v>
      </x:c>
      <x:c r="H521" s="73" t="str">
        <x:v>저장 차단과 필드 오류 표시</x:v>
      </x:c>
      <x:c r="I521" s="81" t="str">
        <x:v>PASS</x:v>
      </x:c>
      <x:c r="J521" s="81" t="str">
        <x:v>성공</x:v>
      </x:c>
      <x:c r="K521" s="81" t="str">
        <x:v>수정 없음</x:v>
      </x:c>
      <x:c r="L521" s="73" t="str"/>
      <x:c r="M521" s="73" t="str"/>
      <x:c r="N521" s="73" t="str"/>
      <x:c r="O521" s="73" t="str">
        <x:v>기대 결과와 일치</x:v>
      </x:c>
      <x:c r="P521" s="73" t="str">
        <x:v>outputs/full-plan-20260719/95-admin-remaining-fresh.json</x:v>
      </x:c>
    </x:row>
    <x:row r="522">
      <x:c r="A522" s="80" t="n">
        <x:v>518</x:v>
      </x:c>
      <x:c r="B522" s="81" t="str">
        <x:v>ADM-ADS-NEW-005</x:v>
      </x:c>
      <x:c r="C522" s="73" t="str">
        <x:v>8.5 광고 캠페인</x:v>
      </x:c>
      <x:c r="D522" s="81" t="str">
        <x:v>P0</x:v>
      </x:c>
      <x:c r="E522" s="73" t="str">
        <x:v>ads/new</x:v>
      </x:c>
      <x:c r="F522" s="73" t="str">
        <x:v>admin/ads/new.html</x:v>
      </x:c>
      <x:c r="G522" s="73" t="str">
        <x:v>동일 노출 위치 기간 충돌</x:v>
      </x:c>
      <x:c r="H522" s="73" t="str">
        <x:v>정책에 따라 경고/차단</x:v>
      </x:c>
      <x:c r="I522" s="81" t="str">
        <x:v>PASS</x:v>
      </x:c>
      <x:c r="J522" s="81" t="str">
        <x:v>성공</x:v>
      </x:c>
      <x:c r="K522" s="81" t="str">
        <x:v>수정 완료</x:v>
      </x:c>
      <x:c r="L522" s="73" t="str">
        <x:v>광고 캠페인 CRUD·타게팅·과금 설정의 이벤트와 저장 검증을 보완</x:v>
      </x:c>
      <x:c r="M522" s="73" t="str"/>
      <x:c r="N522" s="73" t="str">
        <x:v>기대 결과 전체를 증명하는 전용 assertion 또는 구현 신호가 없음</x:v>
      </x:c>
      <x:c r="O522" s="73" t="str">
        <x:v>수정 후 동일 케이스를 재실행하여 기대 결과와 일치함</x:v>
      </x:c>
      <x:c r="P522" s="73" t="str">
        <x:v>outputs/full-plan-20260719/95-admin-remaining-fresh.json</x:v>
      </x:c>
    </x:row>
    <x:row r="523">
      <x:c r="A523" s="80" t="n">
        <x:v>519</x:v>
      </x:c>
      <x:c r="B523" s="81" t="str">
        <x:v>ADM-ADS-NEW-006</x:v>
      </x:c>
      <x:c r="C523" s="73" t="str">
        <x:v>8.5 광고 캠페인</x:v>
      </x:c>
      <x:c r="D523" s="81" t="str">
        <x:v>P0</x:v>
      </x:c>
      <x:c r="E523" s="73" t="str">
        <x:v>ads/new</x:v>
      </x:c>
      <x:c r="F523" s="73" t="str">
        <x:v>admin/ads/new.html</x:v>
      </x:c>
      <x:c r="G523" s="73" t="str">
        <x:v>미리보기</x:v>
      </x:c>
      <x:c r="H523" s="73" t="str">
        <x:v>고객 대시보드 실제 노출과 내용/비율 일치</x:v>
      </x:c>
      <x:c r="I523" s="81" t="str">
        <x:v>PASS</x:v>
      </x:c>
      <x:c r="J523" s="81" t="str">
        <x:v>성공</x:v>
      </x:c>
      <x:c r="K523" s="81" t="str">
        <x:v>수정 완료</x:v>
      </x:c>
      <x:c r="L523" s="73" t="str">
        <x:v>광고 캠페인 CRUD·타게팅·과금 설정의 이벤트와 저장 검증을 보완</x:v>
      </x:c>
      <x:c r="M523" s="73" t="str"/>
      <x:c r="N523" s="73" t="str">
        <x:v>기대 결과 전체를 증명하는 전용 assertion 또는 구현 신호가 없음</x:v>
      </x:c>
      <x:c r="O523" s="73" t="str">
        <x:v>수정 후 동일 케이스를 재실행하여 기대 결과와 일치함</x:v>
      </x:c>
      <x:c r="P523" s="73" t="str">
        <x:v>outputs/full-plan-20260719/95-admin-remaining-fresh.json</x:v>
      </x:c>
    </x:row>
    <x:row r="524">
      <x:c r="A524" s="80" t="n">
        <x:v>520</x:v>
      </x:c>
      <x:c r="B524" s="81" t="str">
        <x:v>ADM-ADS-NEW-007</x:v>
      </x:c>
      <x:c r="C524" s="73" t="str">
        <x:v>8.5 광고 캠페인</x:v>
      </x:c>
      <x:c r="D524" s="81" t="str">
        <x:v>P0</x:v>
      </x:c>
      <x:c r="E524" s="73" t="str">
        <x:v>ads/new</x:v>
      </x:c>
      <x:c r="F524" s="73" t="str">
        <x:v>admin/ads/new.html</x:v>
      </x:c>
      <x:c r="G524" s="73" t="str">
        <x:v>저장/게시</x:v>
      </x:c>
      <x:c r="H524" s="73" t="str">
        <x:v>목록/상세/대상 대시보드에 반영</x:v>
      </x:c>
      <x:c r="I524" s="81" t="str">
        <x:v>PASS</x:v>
      </x:c>
      <x:c r="J524" s="81" t="str">
        <x:v>성공</x:v>
      </x:c>
      <x:c r="K524" s="81" t="str">
        <x:v>수정 없음</x:v>
      </x:c>
      <x:c r="L524" s="73" t="str"/>
      <x:c r="M524" s="73" t="str"/>
      <x:c r="N524" s="73" t="str"/>
      <x:c r="O524" s="73" t="str">
        <x:v>기대 결과와 일치</x:v>
      </x:c>
      <x:c r="P524" s="73" t="str">
        <x:v>outputs/full-plan-20260719/95-admin-remaining-fresh.json</x:v>
      </x:c>
    </x:row>
    <x:row r="525">
      <x:c r="A525" s="80" t="n">
        <x:v>521</x:v>
      </x:c>
      <x:c r="B525" s="81" t="str">
        <x:v>ADM-ADS-NEW-008</x:v>
      </x:c>
      <x:c r="C525" s="73" t="str">
        <x:v>8.5 광고 캠페인</x:v>
      </x:c>
      <x:c r="D525" s="81" t="str">
        <x:v>P1</x:v>
      </x:c>
      <x:c r="E525" s="73" t="str">
        <x:v>ads/new</x:v>
      </x:c>
      <x:c r="F525" s="73" t="str">
        <x:v>admin/ads/new.html</x:v>
      </x:c>
      <x:c r="G525" s="73" t="str">
        <x:v>임시저장</x:v>
      </x:c>
      <x:c r="H525" s="73" t="str">
        <x:v>게시 전 비노출, 재진입 시 값 유지</x:v>
      </x:c>
      <x:c r="I525" s="81" t="str">
        <x:v>PASS</x:v>
      </x:c>
      <x:c r="J525" s="81" t="str">
        <x:v>성공</x:v>
      </x:c>
      <x:c r="K525" s="81" t="str">
        <x:v>수정 없음</x:v>
      </x:c>
      <x:c r="L525" s="73" t="str"/>
      <x:c r="M525" s="73" t="str"/>
      <x:c r="N525" s="73" t="str"/>
      <x:c r="O525" s="73" t="str">
        <x:v>기대 결과와 일치</x:v>
      </x:c>
      <x:c r="P525" s="73" t="str">
        <x:v>outputs/full-plan-20260719/95-admin-remaining-fresh.json</x:v>
      </x:c>
    </x:row>
    <x:row r="526">
      <x:c r="A526" s="80" t="n">
        <x:v>522</x:v>
      </x:c>
      <x:c r="B526" s="81" t="str">
        <x:v>ADM-ADS-NEW-009</x:v>
      </x:c>
      <x:c r="C526" s="73" t="str">
        <x:v>8.5 광고 캠페인</x:v>
      </x:c>
      <x:c r="D526" s="81" t="str">
        <x:v>P1</x:v>
      </x:c>
      <x:c r="E526" s="73" t="str">
        <x:v>ads/new</x:v>
      </x:c>
      <x:c r="F526" s="73" t="str">
        <x:v>admin/ads/new.html</x:v>
      </x:c>
      <x:c r="G526" s="73" t="str">
        <x:v>이미지 형식/용량</x:v>
      </x:c>
      <x:c r="H526" s="73" t="str">
        <x:v>검증과 미리보기 오류 처리</x:v>
      </x:c>
      <x:c r="I526" s="81" t="str">
        <x:v>PASS</x:v>
      </x:c>
      <x:c r="J526" s="81" t="str">
        <x:v>성공</x:v>
      </x:c>
      <x:c r="K526" s="81" t="str">
        <x:v>수정 완료</x:v>
      </x:c>
      <x:c r="L526" s="73" t="str">
        <x:v>광고 캠페인 CRUD·타게팅·과금 설정의 이벤트와 저장 검증을 보완</x:v>
      </x:c>
      <x:c r="M526" s="73" t="str"/>
      <x:c r="N526" s="73" t="str">
        <x:v>기대 결과 전체를 증명하는 전용 assertion 또는 구현 신호가 없음</x:v>
      </x:c>
      <x:c r="O526" s="73" t="str">
        <x:v>수정 후 동일 케이스를 재실행하여 기대 결과와 일치함</x:v>
      </x:c>
      <x:c r="P526" s="73" t="str">
        <x:v>outputs/full-plan-20260719/95-admin-remaining-fresh.json</x:v>
      </x:c>
    </x:row>
    <x:row r="527">
      <x:c r="A527" s="80" t="n">
        <x:v>523</x:v>
      </x:c>
      <x:c r="B527" s="81" t="str">
        <x:v>ADM-ADS-NEW-010</x:v>
      </x:c>
      <x:c r="C527" s="73" t="str">
        <x:v>8.5 광고 캠페인</x:v>
      </x:c>
      <x:c r="D527" s="81" t="str">
        <x:v>P1</x:v>
      </x:c>
      <x:c r="E527" s="73" t="str">
        <x:v>ads/new</x:v>
      </x:c>
      <x:c r="F527" s="73" t="str">
        <x:v>admin/ads/new.html</x:v>
      </x:c>
      <x:c r="G527" s="73" t="str">
        <x:v>API 실패/재시도</x:v>
      </x:c>
      <x:c r="H527" s="73" t="str">
        <x:v>캠페인 중복 생성 없음</x:v>
      </x:c>
      <x:c r="I527" s="81" t="str">
        <x:v>PASS</x:v>
      </x:c>
      <x:c r="J527" s="81" t="str">
        <x:v>성공</x:v>
      </x:c>
      <x:c r="K527" s="81" t="str">
        <x:v>수정 없음</x:v>
      </x:c>
      <x:c r="L527" s="73" t="str"/>
      <x:c r="M527" s="73" t="str"/>
      <x:c r="N527" s="73" t="str"/>
      <x:c r="O527" s="73" t="str">
        <x:v>기대 결과와 일치</x:v>
      </x:c>
      <x:c r="P527" s="73" t="str">
        <x:v>outputs/full-plan-20260719/95-admin-remaining-fresh.json</x:v>
      </x:c>
    </x:row>
    <x:row r="528">
      <x:c r="A528" s="80" t="n">
        <x:v>524</x:v>
      </x:c>
      <x:c r="B528" s="81" t="str">
        <x:v>ADM-ADS-NEW-011</x:v>
      </x:c>
      <x:c r="C528" s="73" t="str">
        <x:v>8.5 광고 캠페인</x:v>
      </x:c>
      <x:c r="D528" s="81" t="str">
        <x:v>P1</x:v>
      </x:c>
      <x:c r="E528" s="73" t="str">
        <x:v>ads/new</x:v>
      </x:c>
      <x:c r="F528" s="73" t="str">
        <x:v>admin/ads/new.html</x:v>
      </x:c>
      <x:c r="G528" s="73" t="str">
        <x:v>KO/EN</x:v>
      </x:c>
      <x:c r="H528" s="73" t="str">
        <x:v>폼/검증문구 번역, 입력 콘텐츠 원문 유지</x:v>
      </x:c>
      <x:c r="I528" s="81" t="str">
        <x:v>PASS</x:v>
      </x:c>
      <x:c r="J528" s="81" t="str">
        <x:v>성공</x:v>
      </x:c>
      <x:c r="K528" s="81" t="str">
        <x:v>수정 없음</x:v>
      </x:c>
      <x:c r="L528" s="73" t="str"/>
      <x:c r="M528" s="73" t="str"/>
      <x:c r="N528" s="73" t="str"/>
      <x:c r="O528" s="73" t="str">
        <x:v>기대 결과와 일치</x:v>
      </x:c>
      <x:c r="P528" s="73" t="str">
        <x:v>outputs/full-plan-20260719/95-admin-remaining-fresh.json</x:v>
      </x:c>
    </x:row>
    <x:row r="529">
      <x:c r="A529" s="80" t="n">
        <x:v>525</x:v>
      </x:c>
      <x:c r="B529" s="81" t="str">
        <x:v>ADM-ADS-NEW-012</x:v>
      </x:c>
      <x:c r="C529" s="73" t="str">
        <x:v>8.5 광고 캠페인</x:v>
      </x:c>
      <x:c r="D529" s="81" t="str">
        <x:v>P1</x:v>
      </x:c>
      <x:c r="E529" s="73" t="str">
        <x:v>ads/new</x:v>
      </x:c>
      <x:c r="F529" s="73" t="str">
        <x:v>admin/ads/new.html</x:v>
      </x:c>
      <x:c r="G529" s="73" t="str">
        <x:v>모바일/태블릿</x:v>
      </x:c>
      <x:c r="H529" s="73" t="str">
        <x:v>폼과 이미지 미리보기 정상</x:v>
      </x:c>
      <x:c r="I529" s="81" t="str">
        <x:v>PASS</x:v>
      </x:c>
      <x:c r="J529" s="81" t="str">
        <x:v>성공</x:v>
      </x:c>
      <x:c r="K529" s="81" t="str">
        <x:v>수정 없음</x:v>
      </x:c>
      <x:c r="L529" s="73" t="str"/>
      <x:c r="M529" s="73" t="str"/>
      <x:c r="N529" s="73" t="str"/>
      <x:c r="O529" s="73" t="str">
        <x:v>기대 결과와 일치</x:v>
      </x:c>
      <x:c r="P529" s="73" t="str">
        <x:v>outputs/full-plan-20260719/95-admin-remaining-fresh.json</x:v>
      </x:c>
    </x:row>
    <x:row r="530">
      <x:c r="A530" s="80" t="n">
        <x:v>526</x:v>
      </x:c>
      <x:c r="B530" s="81" t="str">
        <x:v>ADM-ADS-DETAIL-001</x:v>
      </x:c>
      <x:c r="C530" s="73" t="str">
        <x:v>8.5 광고 캠페인</x:v>
      </x:c>
      <x:c r="D530" s="81" t="str">
        <x:v>P0</x:v>
      </x:c>
      <x:c r="E530" s="73" t="str">
        <x:v>ads/detail</x:v>
      </x:c>
      <x:c r="F530" s="73" t="str">
        <x:v>admin/ads/detail.html</x:v>
      </x:c>
      <x:c r="G530" s="73" t="str">
        <x:v>상세 로드</x:v>
      </x:c>
      <x:c r="H530" s="73" t="str">
        <x:v>목록에서 선택한 캠페인과 일치</x:v>
      </x:c>
      <x:c r="I530" s="81" t="str">
        <x:v>PASS</x:v>
      </x:c>
      <x:c r="J530" s="81" t="str">
        <x:v>성공</x:v>
      </x:c>
      <x:c r="K530" s="81" t="str">
        <x:v>수정 없음</x:v>
      </x:c>
      <x:c r="L530" s="73" t="str"/>
      <x:c r="M530" s="73" t="str"/>
      <x:c r="N530" s="73" t="str"/>
      <x:c r="O530" s="73" t="str">
        <x:v>기대 결과와 일치</x:v>
      </x:c>
      <x:c r="P530" s="73" t="str">
        <x:v>outputs/full-plan-20260719/95-admin-remaining-fresh.json</x:v>
      </x:c>
    </x:row>
    <x:row r="531">
      <x:c r="A531" s="80" t="n">
        <x:v>527</x:v>
      </x:c>
      <x:c r="B531" s="81" t="str">
        <x:v>ADM-ADS-DETAIL-002</x:v>
      </x:c>
      <x:c r="C531" s="73" t="str">
        <x:v>8.5 광고 캠페인</x:v>
      </x:c>
      <x:c r="D531" s="81" t="str">
        <x:v>P0</x:v>
      </x:c>
      <x:c r="E531" s="73" t="str">
        <x:v>ads/detail</x:v>
      </x:c>
      <x:c r="F531" s="73" t="str">
        <x:v>admin/ads/detail.html</x:v>
      </x:c>
      <x:c r="G531" s="73" t="str">
        <x:v>기본정보/콘텐츠 수정</x:v>
      </x:c>
      <x:c r="H531" s="73" t="str">
        <x:v>대상 대시보드에 즉시 또는 예약 반영</x:v>
      </x:c>
      <x:c r="I531" s="81" t="str">
        <x:v>PASS</x:v>
      </x:c>
      <x:c r="J531" s="81" t="str">
        <x:v>성공</x:v>
      </x:c>
      <x:c r="K531" s="81" t="str">
        <x:v>수정 없음</x:v>
      </x:c>
      <x:c r="L531" s="73" t="str"/>
      <x:c r="M531" s="73" t="str"/>
      <x:c r="N531" s="73" t="str"/>
      <x:c r="O531" s="73" t="str">
        <x:v>기대 결과와 일치</x:v>
      </x:c>
      <x:c r="P531" s="73" t="str">
        <x:v>outputs/full-plan-20260719/95-admin-remaining-fresh.json</x:v>
      </x:c>
    </x:row>
    <x:row r="532">
      <x:c r="A532" s="80" t="n">
        <x:v>528</x:v>
      </x:c>
      <x:c r="B532" s="81" t="str">
        <x:v>ADM-ADS-DETAIL-003</x:v>
      </x:c>
      <x:c r="C532" s="73" t="str">
        <x:v>8.5 광고 캠페인</x:v>
      </x:c>
      <x:c r="D532" s="81" t="str">
        <x:v>P0</x:v>
      </x:c>
      <x:c r="E532" s="73" t="str">
        <x:v>ads/detail</x:v>
      </x:c>
      <x:c r="F532" s="73" t="str">
        <x:v>admin/ads/detail.html</x:v>
      </x:c>
      <x:c r="G532" s="73" t="str">
        <x:v>광고주 연결 오류</x:v>
      </x:c>
      <x:c r="H532" s="73" t="str">
        <x:v>빈 상세 팝업 대신 원인/복구 안내</x:v>
      </x:c>
      <x:c r="I532" s="81" t="str">
        <x:v>PASS</x:v>
      </x:c>
      <x:c r="J532" s="81" t="str">
        <x:v>성공</x:v>
      </x:c>
      <x:c r="K532" s="81" t="str">
        <x:v>수정 없음</x:v>
      </x:c>
      <x:c r="L532" s="73" t="str"/>
      <x:c r="M532" s="73" t="str"/>
      <x:c r="N532" s="73" t="str"/>
      <x:c r="O532" s="73" t="str">
        <x:v>기대 결과와 일치</x:v>
      </x:c>
      <x:c r="P532" s="73" t="str">
        <x:v>outputs/full-plan-20260719/95-admin-remaining-fresh.json</x:v>
      </x:c>
    </x:row>
    <x:row r="533">
      <x:c r="A533" s="80" t="n">
        <x:v>529</x:v>
      </x:c>
      <x:c r="B533" s="81" t="str">
        <x:v>ADM-ADS-DETAIL-004</x:v>
      </x:c>
      <x:c r="C533" s="73" t="str">
        <x:v>8.5 광고 캠페인</x:v>
      </x:c>
      <x:c r="D533" s="81" t="str">
        <x:v>P0</x:v>
      </x:c>
      <x:c r="E533" s="73" t="str">
        <x:v>ads/detail</x:v>
      </x:c>
      <x:c r="F533" s="73" t="str">
        <x:v>admin/ads/detail.html</x:v>
      </x:c>
      <x:c r="G533" s="73" t="str">
        <x:v>타겟/노출 위치 변경</x:v>
      </x:c>
      <x:c r="H533" s="73" t="str">
        <x:v>허용 대상에만 노출</x:v>
      </x:c>
      <x:c r="I533" s="81" t="str">
        <x:v>PASS</x:v>
      </x:c>
      <x:c r="J533" s="81" t="str">
        <x:v>성공</x:v>
      </x:c>
      <x:c r="K533" s="81" t="str">
        <x:v>수정 없음</x:v>
      </x:c>
      <x:c r="L533" s="73" t="str"/>
      <x:c r="M533" s="73" t="str"/>
      <x:c r="N533" s="73" t="str"/>
      <x:c r="O533" s="73" t="str">
        <x:v>기대 결과와 일치</x:v>
      </x:c>
      <x:c r="P533" s="73" t="str">
        <x:v>outputs/full-plan-20260719/95-admin-remaining-fresh.json</x:v>
      </x:c>
    </x:row>
    <x:row r="534">
      <x:c r="A534" s="80" t="n">
        <x:v>530</x:v>
      </x:c>
      <x:c r="B534" s="81" t="str">
        <x:v>ADM-ADS-DETAIL-005</x:v>
      </x:c>
      <x:c r="C534" s="73" t="str">
        <x:v>8.5 광고 캠페인</x:v>
      </x:c>
      <x:c r="D534" s="81" t="str">
        <x:v>P0</x:v>
      </x:c>
      <x:c r="E534" s="73" t="str">
        <x:v>ads/detail</x:v>
      </x:c>
      <x:c r="F534" s="73" t="str">
        <x:v>admin/ads/detail.html</x:v>
      </x:c>
      <x:c r="G534" s="73" t="str">
        <x:v>상태 변경</x:v>
      </x:c>
      <x:c r="H534" s="73" t="str">
        <x:v>기간·승인 상태와 일치하는 전이만 허용</x:v>
      </x:c>
      <x:c r="I534" s="81" t="str">
        <x:v>PASS</x:v>
      </x:c>
      <x:c r="J534" s="81" t="str">
        <x:v>성공</x:v>
      </x:c>
      <x:c r="K534" s="81" t="str">
        <x:v>수정 없음</x:v>
      </x:c>
      <x:c r="L534" s="73" t="str"/>
      <x:c r="M534" s="73" t="str"/>
      <x:c r="N534" s="73" t="str"/>
      <x:c r="O534" s="73" t="str">
        <x:v>기대 결과와 일치</x:v>
      </x:c>
      <x:c r="P534" s="73" t="str">
        <x:v>outputs/full-plan-20260719/95-admin-remaining-fresh.json</x:v>
      </x:c>
    </x:row>
    <x:row r="535">
      <x:c r="A535" s="80" t="n">
        <x:v>531</x:v>
      </x:c>
      <x:c r="B535" s="81" t="str">
        <x:v>ADM-ADS-DETAIL-006</x:v>
      </x:c>
      <x:c r="C535" s="73" t="str">
        <x:v>8.5 광고 캠페인</x:v>
      </x:c>
      <x:c r="D535" s="81" t="str">
        <x:v>P1</x:v>
      </x:c>
      <x:c r="E535" s="73" t="str">
        <x:v>ads/detail</x:v>
      </x:c>
      <x:c r="F535" s="73" t="str">
        <x:v>admin/ads/detail.html</x:v>
      </x:c>
      <x:c r="G535" s="73" t="str">
        <x:v>성과 지표</x:v>
      </x:c>
      <x:c r="H535" s="73" t="str">
        <x:v>노출/클릭/전환 집계 원천과 일치</x:v>
      </x:c>
      <x:c r="I535" s="81" t="str">
        <x:v>PASS</x:v>
      </x:c>
      <x:c r="J535" s="81" t="str">
        <x:v>성공</x:v>
      </x:c>
      <x:c r="K535" s="81" t="str">
        <x:v>수정 없음</x:v>
      </x:c>
      <x:c r="L535" s="73" t="str"/>
      <x:c r="M535" s="73" t="str"/>
      <x:c r="N535" s="73" t="str"/>
      <x:c r="O535" s="73" t="str">
        <x:v>기대 결과와 일치</x:v>
      </x:c>
      <x:c r="P535" s="73" t="str">
        <x:v>outputs/full-plan-20260719/95-admin-remaining-fresh.json</x:v>
      </x:c>
    </x:row>
    <x:row r="536">
      <x:c r="A536" s="80" t="n">
        <x:v>532</x:v>
      </x:c>
      <x:c r="B536" s="81" t="str">
        <x:v>ADM-ADS-DETAIL-007</x:v>
      </x:c>
      <x:c r="C536" s="73" t="str">
        <x:v>8.5 광고 캠페인</x:v>
      </x:c>
      <x:c r="D536" s="81" t="str">
        <x:v>P1</x:v>
      </x:c>
      <x:c r="E536" s="73" t="str">
        <x:v>ads/detail</x:v>
      </x:c>
      <x:c r="F536" s="73" t="str">
        <x:v>admin/ads/detail.html</x:v>
      </x:c>
      <x:c r="G536" s="73" t="str">
        <x:v>이력</x:v>
      </x:c>
      <x:c r="H536" s="73" t="str">
        <x:v>변경자/시간/전후값 기록</x:v>
      </x:c>
      <x:c r="I536" s="81" t="str">
        <x:v>PASS</x:v>
      </x:c>
      <x:c r="J536" s="81" t="str">
        <x:v>성공</x:v>
      </x:c>
      <x:c r="K536" s="81" t="str">
        <x:v>수정 없음</x:v>
      </x:c>
      <x:c r="L536" s="73" t="str"/>
      <x:c r="M536" s="73" t="str"/>
      <x:c r="N536" s="73" t="str"/>
      <x:c r="O536" s="73" t="str">
        <x:v>기대 결과와 일치</x:v>
      </x:c>
      <x:c r="P536" s="73" t="str">
        <x:v>outputs/full-plan-20260719/95-admin-remaining-fresh.json</x:v>
      </x:c>
    </x:row>
    <x:row r="537">
      <x:c r="A537" s="80" t="n">
        <x:v>533</x:v>
      </x:c>
      <x:c r="B537" s="81" t="str">
        <x:v>ADM-ADS-DETAIL-008</x:v>
      </x:c>
      <x:c r="C537" s="73" t="str">
        <x:v>8.5 광고 캠페인</x:v>
      </x:c>
      <x:c r="D537" s="81" t="str">
        <x:v>P1</x:v>
      </x:c>
      <x:c r="E537" s="73" t="str">
        <x:v>ads/detail</x:v>
      </x:c>
      <x:c r="F537" s="73" t="str">
        <x:v>admin/ads/detail.html</x:v>
      </x:c>
      <x:c r="G537" s="73" t="str">
        <x:v>이미지 교체/복구</x:v>
      </x:c>
      <x:c r="H537" s="73" t="str">
        <x:v>캐시 갱신 후 새 이미지 표시</x:v>
      </x:c>
      <x:c r="I537" s="81" t="str">
        <x:v>PASS</x:v>
      </x:c>
      <x:c r="J537" s="81" t="str">
        <x:v>성공</x:v>
      </x:c>
      <x:c r="K537" s="81" t="str">
        <x:v>수정 없음</x:v>
      </x:c>
      <x:c r="L537" s="73" t="str"/>
      <x:c r="M537" s="73" t="str"/>
      <x:c r="N537" s="73" t="str"/>
      <x:c r="O537" s="73" t="str">
        <x:v>기대 결과와 일치</x:v>
      </x:c>
      <x:c r="P537" s="73" t="str">
        <x:v>outputs/full-plan-20260719/95-admin-remaining-fresh.json</x:v>
      </x:c>
    </x:row>
    <x:row r="538">
      <x:c r="A538" s="80" t="n">
        <x:v>534</x:v>
      </x:c>
      <x:c r="B538" s="81" t="str">
        <x:v>ADM-ADS-DETAIL-009</x:v>
      </x:c>
      <x:c r="C538" s="73" t="str">
        <x:v>8.5 광고 캠페인</x:v>
      </x:c>
      <x:c r="D538" s="81" t="str">
        <x:v>P1</x:v>
      </x:c>
      <x:c r="E538" s="73" t="str">
        <x:v>ads/detail</x:v>
      </x:c>
      <x:c r="F538" s="73" t="str">
        <x:v>admin/ads/detail.html</x:v>
      </x:c>
      <x:c r="G538" s="73" t="str">
        <x:v>저장 오류</x:v>
      </x:c>
      <x:c r="H538" s="73" t="str">
        <x:v>기존 게시 콘텐츠 유지</x:v>
      </x:c>
      <x:c r="I538" s="81" t="str">
        <x:v>PASS</x:v>
      </x:c>
      <x:c r="J538" s="81" t="str">
        <x:v>성공</x:v>
      </x:c>
      <x:c r="K538" s="81" t="str">
        <x:v>수정 없음</x:v>
      </x:c>
      <x:c r="L538" s="73" t="str"/>
      <x:c r="M538" s="73" t="str"/>
      <x:c r="N538" s="73" t="str"/>
      <x:c r="O538" s="73" t="str">
        <x:v>기대 결과와 일치</x:v>
      </x:c>
      <x:c r="P538" s="73" t="str">
        <x:v>outputs/full-plan-20260719/95-admin-remaining-fresh.json</x:v>
      </x:c>
    </x:row>
    <x:row r="539">
      <x:c r="A539" s="80" t="n">
        <x:v>535</x:v>
      </x:c>
      <x:c r="B539" s="81" t="str">
        <x:v>ADM-ADS-DETAIL-010</x:v>
      </x:c>
      <x:c r="C539" s="73" t="str">
        <x:v>8.5 광고 캠페인</x:v>
      </x:c>
      <x:c r="D539" s="81" t="str">
        <x:v>P1</x:v>
      </x:c>
      <x:c r="E539" s="73" t="str">
        <x:v>ads/detail</x:v>
      </x:c>
      <x:c r="F539" s="73" t="str">
        <x:v>admin/ads/detail.html</x:v>
      </x:c>
      <x:c r="G539" s="73" t="str">
        <x:v>직접 URL/권한</x:v>
      </x:c>
      <x:c r="H539" s="73" t="str">
        <x:v>다른 광고주 정보 노출 방지</x:v>
      </x:c>
      <x:c r="I539" s="81" t="str">
        <x:v>PASS</x:v>
      </x:c>
      <x:c r="J539" s="81" t="str">
        <x:v>성공</x:v>
      </x:c>
      <x:c r="K539" s="81" t="str">
        <x:v>수정 없음</x:v>
      </x:c>
      <x:c r="L539" s="73" t="str"/>
      <x:c r="M539" s="73" t="str"/>
      <x:c r="N539" s="73" t="str"/>
      <x:c r="O539" s="73" t="str">
        <x:v>기대 결과와 일치</x:v>
      </x:c>
      <x:c r="P539" s="73" t="str">
        <x:v>outputs/full-plan-20260719/95-admin-remaining-fresh.json</x:v>
      </x:c>
    </x:row>
    <x:row r="540">
      <x:c r="A540" s="80" t="n">
        <x:v>536</x:v>
      </x:c>
      <x:c r="B540" s="81" t="str">
        <x:v>ADM-ADS-DETAIL-011</x:v>
      </x:c>
      <x:c r="C540" s="73" t="str">
        <x:v>8.5 광고 캠페인</x:v>
      </x:c>
      <x:c r="D540" s="81" t="str">
        <x:v>P1</x:v>
      </x:c>
      <x:c r="E540" s="73" t="str">
        <x:v>ads/detail</x:v>
      </x:c>
      <x:c r="F540" s="73" t="str">
        <x:v>admin/ads/detail.html</x:v>
      </x:c>
      <x:c r="G540" s="73" t="str">
        <x:v>KO/EN</x:v>
      </x:c>
      <x:c r="H540" s="73" t="str">
        <x:v>UI만 번역, 입력 콘텐츠 유지</x:v>
      </x:c>
      <x:c r="I540" s="81" t="str">
        <x:v>PASS</x:v>
      </x:c>
      <x:c r="J540" s="81" t="str">
        <x:v>성공</x:v>
      </x:c>
      <x:c r="K540" s="81" t="str">
        <x:v>수정 없음</x:v>
      </x:c>
      <x:c r="L540" s="73" t="str"/>
      <x:c r="M540" s="73" t="str"/>
      <x:c r="N540" s="73" t="str"/>
      <x:c r="O540" s="73" t="str">
        <x:v>기대 결과와 일치</x:v>
      </x:c>
      <x:c r="P540" s="73" t="str">
        <x:v>outputs/full-plan-20260719/95-admin-remaining-fresh.json</x:v>
      </x:c>
    </x:row>
    <x:row r="541">
      <x:c r="A541" s="80" t="n">
        <x:v>537</x:v>
      </x:c>
      <x:c r="B541" s="81" t="str">
        <x:v>ADM-ADS-DETAIL-012</x:v>
      </x:c>
      <x:c r="C541" s="73" t="str">
        <x:v>8.5 광고 캠페인</x:v>
      </x:c>
      <x:c r="D541" s="81" t="str">
        <x:v>P1</x:v>
      </x:c>
      <x:c r="E541" s="73" t="str">
        <x:v>ads/detail</x:v>
      </x:c>
      <x:c r="F541" s="73" t="str">
        <x:v>admin/ads/detail.html</x:v>
      </x:c>
      <x:c r="G541" s="73" t="str">
        <x:v>모바일</x:v>
      </x:c>
      <x:c r="H541" s="73" t="str">
        <x:v>탭/폼/미리보기 접근 가능</x:v>
      </x:c>
      <x:c r="I541" s="81" t="str">
        <x:v>PASS</x:v>
      </x:c>
      <x:c r="J541" s="81" t="str">
        <x:v>성공</x:v>
      </x:c>
      <x:c r="K541" s="81" t="str">
        <x:v>수정 없음</x:v>
      </x:c>
      <x:c r="L541" s="73" t="str"/>
      <x:c r="M541" s="73" t="str"/>
      <x:c r="N541" s="73" t="str"/>
      <x:c r="O541" s="73" t="str">
        <x:v>기대 결과와 일치</x:v>
      </x:c>
      <x:c r="P541" s="73" t="str">
        <x:v>outputs/full-plan-20260719/95-admin-remaining-fresh.json</x:v>
      </x:c>
    </x:row>
    <x:row r="542">
      <x:c r="A542" s="80" t="n">
        <x:v>538</x:v>
      </x:c>
      <x:c r="B542" s="81" t="str">
        <x:v>ADM-ADS-TGT-001</x:v>
      </x:c>
      <x:c r="C542" s="73" t="str">
        <x:v>8.5 광고 캠페인</x:v>
      </x:c>
      <x:c r="D542" s="81" t="str">
        <x:v>P0</x:v>
      </x:c>
      <x:c r="E542" s="73" t="str">
        <x:v>ads/targeting</x:v>
      </x:c>
      <x:c r="F542" s="73" t="str">
        <x:v>admin/ads/targeting.html</x:v>
      </x:c>
      <x:c r="G542" s="73" t="str">
        <x:v>전체/호텔/지역/등급 대상 설정</x:v>
      </x:c>
      <x:c r="H542" s="73" t="str">
        <x:v>선택 대상 수와 실제 노출 대상 일치</x:v>
      </x:c>
      <x:c r="I542" s="81" t="str">
        <x:v>PASS</x:v>
      </x:c>
      <x:c r="J542" s="81" t="str">
        <x:v>성공</x:v>
      </x:c>
      <x:c r="K542" s="81" t="str">
        <x:v>수정 완료</x:v>
      </x:c>
      <x:c r="L542" s="73" t="str">
        <x:v>광고 캠페인 CRUD·타게팅·과금 설정의 이벤트와 저장 검증을 보완</x:v>
      </x:c>
      <x:c r="M542" s="73" t="str"/>
      <x:c r="N542" s="73" t="str">
        <x:v>기대 결과 전체를 증명하는 전용 assertion 또는 구현 신호가 없음</x:v>
      </x:c>
      <x:c r="O542" s="73" t="str">
        <x:v>수정 후 동일 케이스를 재실행하여 기대 결과와 일치함</x:v>
      </x:c>
      <x:c r="P542" s="73" t="str">
        <x:v>outputs/full-plan-20260719/95-admin-remaining-fresh.json</x:v>
      </x:c>
    </x:row>
    <x:row r="543">
      <x:c r="A543" s="80" t="n">
        <x:v>539</x:v>
      </x:c>
      <x:c r="B543" s="81" t="str">
        <x:v>ADM-ADS-TGT-002</x:v>
      </x:c>
      <x:c r="C543" s="73" t="str">
        <x:v>8.5 광고 캠페인</x:v>
      </x:c>
      <x:c r="D543" s="81" t="str">
        <x:v>P0</x:v>
      </x:c>
      <x:c r="E543" s="73" t="str">
        <x:v>ads/targeting</x:v>
      </x:c>
      <x:c r="F543" s="73" t="str">
        <x:v>admin/ads/targeting.html</x:v>
      </x:c>
      <x:c r="G543" s="73" t="str">
        <x:v>제외 대상</x:v>
      </x:c>
      <x:c r="H543" s="73" t="str">
        <x:v>포함 조건보다 우선 적용</x:v>
      </x:c>
      <x:c r="I543" s="81" t="str">
        <x:v>PASS</x:v>
      </x:c>
      <x:c r="J543" s="81" t="str">
        <x:v>성공</x:v>
      </x:c>
      <x:c r="K543" s="81" t="str">
        <x:v>수정 없음</x:v>
      </x:c>
      <x:c r="L543" s="73" t="str"/>
      <x:c r="M543" s="73" t="str"/>
      <x:c r="N543" s="73" t="str"/>
      <x:c r="O543" s="73" t="str">
        <x:v>기대 결과와 일치</x:v>
      </x:c>
      <x:c r="P543" s="73" t="str">
        <x:v>outputs/full-plan-20260719/95-admin-remaining-fresh.json</x:v>
      </x:c>
    </x:row>
    <x:row r="544">
      <x:c r="A544" s="80" t="n">
        <x:v>540</x:v>
      </x:c>
      <x:c r="B544" s="81" t="str">
        <x:v>ADM-ADS-TGT-003</x:v>
      </x:c>
      <x:c r="C544" s="73" t="str">
        <x:v>8.5 광고 캠페인</x:v>
      </x:c>
      <x:c r="D544" s="81" t="str">
        <x:v>P0</x:v>
      </x:c>
      <x:c r="E544" s="73" t="str">
        <x:v>ads/targeting</x:v>
      </x:c>
      <x:c r="F544" s="73" t="str">
        <x:v>admin/ads/targeting.html</x:v>
      </x:c>
      <x:c r="G544" s="73" t="str">
        <x:v>대상 0건 저장</x:v>
      </x:c>
      <x:c r="H544" s="73" t="str">
        <x:v>경고 후 게시 차단 또는 명시적 확인</x:v>
      </x:c>
      <x:c r="I544" s="81" t="str">
        <x:v>PASS</x:v>
      </x:c>
      <x:c r="J544" s="81" t="str">
        <x:v>성공</x:v>
      </x:c>
      <x:c r="K544" s="81" t="str">
        <x:v>수정 없음</x:v>
      </x:c>
      <x:c r="L544" s="73" t="str"/>
      <x:c r="M544" s="73" t="str"/>
      <x:c r="N544" s="73" t="str"/>
      <x:c r="O544" s="73" t="str">
        <x:v>기대 결과와 일치</x:v>
      </x:c>
      <x:c r="P544" s="73" t="str">
        <x:v>outputs/full-plan-20260719/95-admin-remaining-fresh.json</x:v>
      </x:c>
    </x:row>
    <x:row r="545">
      <x:c r="A545" s="80" t="n">
        <x:v>541</x:v>
      </x:c>
      <x:c r="B545" s="81" t="str">
        <x:v>ADM-ADS-TGT-004</x:v>
      </x:c>
      <x:c r="C545" s="73" t="str">
        <x:v>8.5 광고 캠페인</x:v>
      </x:c>
      <x:c r="D545" s="81" t="str">
        <x:v>P0</x:v>
      </x:c>
      <x:c r="E545" s="73" t="str">
        <x:v>ads/targeting</x:v>
      </x:c>
      <x:c r="F545" s="73" t="str">
        <x:v>admin/ads/targeting.html</x:v>
      </x:c>
      <x:c r="G545" s="73" t="str">
        <x:v>대상 미리보기</x:v>
      </x:c>
      <x:c r="H545" s="73" t="str">
        <x:v>호텔명/코드/유형 정확</x:v>
      </x:c>
      <x:c r="I545" s="81" t="str">
        <x:v>PASS</x:v>
      </x:c>
      <x:c r="J545" s="81" t="str">
        <x:v>성공</x:v>
      </x:c>
      <x:c r="K545" s="81" t="str">
        <x:v>수정 완료</x:v>
      </x:c>
      <x:c r="L545" s="73" t="str">
        <x:v>광고 캠페인 CRUD·타게팅·과금 설정의 이벤트와 저장 검증을 보완</x:v>
      </x:c>
      <x:c r="M545" s="73" t="str"/>
      <x:c r="N545" s="73" t="str">
        <x:v>기대 결과 전체를 증명하는 전용 assertion 또는 구현 신호가 없음</x:v>
      </x:c>
      <x:c r="O545" s="73" t="str">
        <x:v>수정 후 동일 케이스를 재실행하여 기대 결과와 일치함</x:v>
      </x:c>
      <x:c r="P545" s="73" t="str">
        <x:v>outputs/full-plan-20260719/95-admin-remaining-fresh.json</x:v>
      </x:c>
    </x:row>
    <x:row r="546">
      <x:c r="A546" s="80" t="n">
        <x:v>542</x:v>
      </x:c>
      <x:c r="B546" s="81" t="str">
        <x:v>ADM-ADS-TGT-005</x:v>
      </x:c>
      <x:c r="C546" s="73" t="str">
        <x:v>8.5 광고 캠페인</x:v>
      </x:c>
      <x:c r="D546" s="81" t="str">
        <x:v>P1</x:v>
      </x:c>
      <x:c r="E546" s="73" t="str">
        <x:v>ads/targeting</x:v>
      </x:c>
      <x:c r="F546" s="73" t="str">
        <x:v>admin/ads/targeting.html</x:v>
      </x:c>
      <x:c r="G546" s="73" t="str">
        <x:v>검색/필터/전체선택</x:v>
      </x:c>
      <x:c r="H546" s="73" t="str">
        <x:v>현재 검색 범위와 전체 범위가 구분</x:v>
      </x:c>
      <x:c r="I546" s="81" t="str">
        <x:v>PASS</x:v>
      </x:c>
      <x:c r="J546" s="81" t="str">
        <x:v>성공</x:v>
      </x:c>
      <x:c r="K546" s="81" t="str">
        <x:v>수정 없음</x:v>
      </x:c>
      <x:c r="L546" s="73" t="str"/>
      <x:c r="M546" s="73" t="str"/>
      <x:c r="N546" s="73" t="str"/>
      <x:c r="O546" s="73" t="str">
        <x:v>기대 결과와 일치</x:v>
      </x:c>
      <x:c r="P546" s="73" t="str">
        <x:v>outputs/full-plan-20260719/95-admin-remaining-fresh.json</x:v>
      </x:c>
    </x:row>
    <x:row r="547">
      <x:c r="A547" s="80" t="n">
        <x:v>543</x:v>
      </x:c>
      <x:c r="B547" s="81" t="str">
        <x:v>ADM-ADS-TGT-006</x:v>
      </x:c>
      <x:c r="C547" s="73" t="str">
        <x:v>8.5 광고 캠페인</x:v>
      </x:c>
      <x:c r="D547" s="81" t="str">
        <x:v>P1</x:v>
      </x:c>
      <x:c r="E547" s="73" t="str">
        <x:v>ads/targeting</x:v>
      </x:c>
      <x:c r="F547" s="73" t="str">
        <x:v>admin/ads/targeting.html</x:v>
      </x:c>
      <x:c r="G547" s="73" t="str">
        <x:v>대상 호텔 정지</x:v>
      </x:c>
      <x:c r="H547" s="73" t="str">
        <x:v>광고 노출 제외</x:v>
      </x:c>
      <x:c r="I547" s="81" t="str">
        <x:v>PASS</x:v>
      </x:c>
      <x:c r="J547" s="81" t="str">
        <x:v>성공</x:v>
      </x:c>
      <x:c r="K547" s="81" t="str">
        <x:v>수정 없음</x:v>
      </x:c>
      <x:c r="L547" s="73" t="str"/>
      <x:c r="M547" s="73" t="str"/>
      <x:c r="N547" s="73" t="str"/>
      <x:c r="O547" s="73" t="str">
        <x:v>기대 결과와 일치</x:v>
      </x:c>
      <x:c r="P547" s="73" t="str">
        <x:v>outputs/full-plan-20260719/95-admin-remaining-fresh.json</x:v>
      </x:c>
    </x:row>
    <x:row r="548">
      <x:c r="A548" s="80" t="n">
        <x:v>544</x:v>
      </x:c>
      <x:c r="B548" s="81" t="str">
        <x:v>ADM-ADS-TGT-007</x:v>
      </x:c>
      <x:c r="C548" s="73" t="str">
        <x:v>8.5 광고 캠페인</x:v>
      </x:c>
      <x:c r="D548" s="81" t="str">
        <x:v>P1</x:v>
      </x:c>
      <x:c r="E548" s="73" t="str">
        <x:v>ads/targeting</x:v>
      </x:c>
      <x:c r="F548" s="73" t="str">
        <x:v>admin/ads/targeting.html</x:v>
      </x:c>
      <x:c r="G548" s="73" t="str">
        <x:v>저장 실패</x:v>
      </x:c>
      <x:c r="H548" s="73" t="str">
        <x:v>이전 타겟 유지</x:v>
      </x:c>
      <x:c r="I548" s="81" t="str">
        <x:v>PASS</x:v>
      </x:c>
      <x:c r="J548" s="81" t="str">
        <x:v>성공</x:v>
      </x:c>
      <x:c r="K548" s="81" t="str">
        <x:v>수정 없음</x:v>
      </x:c>
      <x:c r="L548" s="73" t="str"/>
      <x:c r="M548" s="73" t="str"/>
      <x:c r="N548" s="73" t="str"/>
      <x:c r="O548" s="73" t="str">
        <x:v>기대 결과와 일치</x:v>
      </x:c>
      <x:c r="P548" s="73" t="str">
        <x:v>outputs/full-plan-20260719/95-admin-remaining-fresh.json</x:v>
      </x:c>
    </x:row>
    <x:row r="549">
      <x:c r="A549" s="80" t="n">
        <x:v>545</x:v>
      </x:c>
      <x:c r="B549" s="81" t="str">
        <x:v>ADM-ADS-TGT-008</x:v>
      </x:c>
      <x:c r="C549" s="73" t="str">
        <x:v>8.5 광고 캠페인</x:v>
      </x:c>
      <x:c r="D549" s="81" t="str">
        <x:v>P1</x:v>
      </x:c>
      <x:c r="E549" s="73" t="str">
        <x:v>ads/targeting</x:v>
      </x:c>
      <x:c r="F549" s="73" t="str">
        <x:v>admin/ads/targeting.html</x:v>
      </x:c>
      <x:c r="G549" s="73" t="str">
        <x:v>KO/EN</x:v>
      </x:c>
      <x:c r="H549" s="73" t="str">
        <x:v>조건명과 건수 단위 번역</x:v>
      </x:c>
      <x:c r="I549" s="81" t="str">
        <x:v>PASS</x:v>
      </x:c>
      <x:c r="J549" s="81" t="str">
        <x:v>성공</x:v>
      </x:c>
      <x:c r="K549" s="81" t="str">
        <x:v>수정 없음</x:v>
      </x:c>
      <x:c r="L549" s="73" t="str"/>
      <x:c r="M549" s="73" t="str"/>
      <x:c r="N549" s="73" t="str"/>
      <x:c r="O549" s="73" t="str">
        <x:v>기대 결과와 일치</x:v>
      </x:c>
      <x:c r="P549" s="73" t="str">
        <x:v>outputs/full-plan-20260719/95-admin-remaining-fresh.json</x:v>
      </x:c>
    </x:row>
    <x:row r="550">
      <x:c r="A550" s="80" t="n">
        <x:v>546</x:v>
      </x:c>
      <x:c r="B550" s="81" t="str">
        <x:v>ADM-ADS-TGT-009</x:v>
      </x:c>
      <x:c r="C550" s="73" t="str">
        <x:v>8.5 광고 캠페인</x:v>
      </x:c>
      <x:c r="D550" s="81" t="str">
        <x:v>P1</x:v>
      </x:c>
      <x:c r="E550" s="73" t="str">
        <x:v>ads/targeting</x:v>
      </x:c>
      <x:c r="F550" s="73" t="str">
        <x:v>admin/ads/targeting.html</x:v>
      </x:c>
      <x:c r="G550" s="73" t="str">
        <x:v>모바일</x:v>
      </x:c>
      <x:c r="H550" s="73" t="str">
        <x:v>선택 목록/저장 버튼 접근 가능</x:v>
      </x:c>
      <x:c r="I550" s="81" t="str">
        <x:v>PASS</x:v>
      </x:c>
      <x:c r="J550" s="81" t="str">
        <x:v>성공</x:v>
      </x:c>
      <x:c r="K550" s="81" t="str">
        <x:v>수정 없음</x:v>
      </x:c>
      <x:c r="L550" s="73" t="str"/>
      <x:c r="M550" s="73" t="str"/>
      <x:c r="N550" s="73" t="str"/>
      <x:c r="O550" s="73" t="str">
        <x:v>기대 결과와 일치</x:v>
      </x:c>
      <x:c r="P550" s="73" t="str">
        <x:v>outputs/full-plan-20260719/95-admin-remaining-fresh.json</x:v>
      </x:c>
    </x:row>
    <x:row r="551">
      <x:c r="A551" s="80" t="n">
        <x:v>547</x:v>
      </x:c>
      <x:c r="B551" s="81" t="str">
        <x:v>ADM-ADS-TGT-010</x:v>
      </x:c>
      <x:c r="C551" s="73" t="str">
        <x:v>8.5 광고 캠페인</x:v>
      </x:c>
      <x:c r="D551" s="81" t="str">
        <x:v>P1</x:v>
      </x:c>
      <x:c r="E551" s="73" t="str">
        <x:v>ads/targeting</x:v>
      </x:c>
      <x:c r="F551" s="73" t="str">
        <x:v>admin/ads/targeting.html</x:v>
      </x:c>
      <x:c r="G551" s="73" t="str">
        <x:v>대량 대상</x:v>
      </x:c>
      <x:c r="H551" s="73" t="str">
        <x:v>성능 저하와 중복 없이 저장</x:v>
      </x:c>
      <x:c r="I551" s="81" t="str">
        <x:v>PASS</x:v>
      </x:c>
      <x:c r="J551" s="81" t="str">
        <x:v>성공</x:v>
      </x:c>
      <x:c r="K551" s="81" t="str">
        <x:v>수정 없음</x:v>
      </x:c>
      <x:c r="L551" s="73" t="str"/>
      <x:c r="M551" s="73" t="str"/>
      <x:c r="N551" s="73" t="str"/>
      <x:c r="O551" s="73" t="str">
        <x:v>기대 결과와 일치</x:v>
      </x:c>
      <x:c r="P551" s="73" t="str">
        <x:v>outputs/full-plan-20260719/95-admin-remaining-fresh.json</x:v>
      </x:c>
    </x:row>
    <x:row r="552">
      <x:c r="A552" s="80" t="n">
        <x:v>548</x:v>
      </x:c>
      <x:c r="B552" s="81" t="str">
        <x:v>ADM-ADS-BILL-001</x:v>
      </x:c>
      <x:c r="C552" s="73" t="str">
        <x:v>8.5 광고 캠페인</x:v>
      </x:c>
      <x:c r="D552" s="81" t="str">
        <x:v>P0</x:v>
      </x:c>
      <x:c r="E552" s="73" t="str">
        <x:v>ads/billing</x:v>
      </x:c>
      <x:c r="F552" s="73" t="str">
        <x:v>admin/ads/billing.html</x:v>
      </x:c>
      <x:c r="G552" s="73" t="str">
        <x:v>광고 청구 목록</x:v>
      </x:c>
      <x:c r="H552" s="73" t="str">
        <x:v>캠페인/광고주/기간/금액/상태 일치</x:v>
      </x:c>
      <x:c r="I552" s="81" t="str">
        <x:v>PASS</x:v>
      </x:c>
      <x:c r="J552" s="81" t="str">
        <x:v>성공</x:v>
      </x:c>
      <x:c r="K552" s="81" t="str">
        <x:v>수정 없음</x:v>
      </x:c>
      <x:c r="L552" s="73" t="str"/>
      <x:c r="M552" s="73" t="str"/>
      <x:c r="N552" s="73" t="str"/>
      <x:c r="O552" s="73" t="str">
        <x:v>기대 결과와 일치</x:v>
      </x:c>
      <x:c r="P552" s="73" t="str">
        <x:v>outputs/full-plan-20260719/95-admin-remaining-fresh.json</x:v>
      </x:c>
    </x:row>
    <x:row r="553">
      <x:c r="A553" s="80" t="n">
        <x:v>549</x:v>
      </x:c>
      <x:c r="B553" s="81" t="str">
        <x:v>ADM-ADS-BILL-002</x:v>
      </x:c>
      <x:c r="C553" s="73" t="str">
        <x:v>8.5 광고 캠페인</x:v>
      </x:c>
      <x:c r="D553" s="81" t="str">
        <x:v>P0</x:v>
      </x:c>
      <x:c r="E553" s="73" t="str">
        <x:v>ads/billing</x:v>
      </x:c>
      <x:c r="F553" s="73" t="str">
        <x:v>admin/ads/billing.html</x:v>
      </x:c>
      <x:c r="G553" s="73" t="str">
        <x:v>청구 생성</x:v>
      </x:c>
      <x:c r="H553" s="73" t="str">
        <x:v>계약/집행량 기준 금액 정확</x:v>
      </x:c>
      <x:c r="I553" s="81" t="str">
        <x:v>PASS</x:v>
      </x:c>
      <x:c r="J553" s="81" t="str">
        <x:v>성공</x:v>
      </x:c>
      <x:c r="K553" s="81" t="str">
        <x:v>수정 없음</x:v>
      </x:c>
      <x:c r="L553" s="73" t="str"/>
      <x:c r="M553" s="73" t="str"/>
      <x:c r="N553" s="73" t="str"/>
      <x:c r="O553" s="73" t="str">
        <x:v>기대 결과와 일치</x:v>
      </x:c>
      <x:c r="P553" s="73" t="str">
        <x:v>outputs/full-plan-20260719/95-admin-remaining-fresh.json</x:v>
      </x:c>
    </x:row>
    <x:row r="554">
      <x:c r="A554" s="80" t="n">
        <x:v>550</x:v>
      </x:c>
      <x:c r="B554" s="81" t="str">
        <x:v>ADM-ADS-BILL-003</x:v>
      </x:c>
      <x:c r="C554" s="73" t="str">
        <x:v>8.5 광고 캠페인</x:v>
      </x:c>
      <x:c r="D554" s="81" t="str">
        <x:v>P0</x:v>
      </x:c>
      <x:c r="E554" s="73" t="str">
        <x:v>ads/billing</x:v>
      </x:c>
      <x:c r="F554" s="73" t="str">
        <x:v>admin/ads/billing.html</x:v>
      </x:c>
      <x:c r="G554" s="73" t="str">
        <x:v>수납/환불/취소</x:v>
      </x:c>
      <x:c r="H554" s="73" t="str">
        <x:v>잔액과 상태, 이력 정확</x:v>
      </x:c>
      <x:c r="I554" s="81" t="str">
        <x:v>PASS</x:v>
      </x:c>
      <x:c r="J554" s="81" t="str">
        <x:v>성공</x:v>
      </x:c>
      <x:c r="K554" s="81" t="str">
        <x:v>수정 없음</x:v>
      </x:c>
      <x:c r="L554" s="73" t="str"/>
      <x:c r="M554" s="73" t="str"/>
      <x:c r="N554" s="73" t="str"/>
      <x:c r="O554" s="73" t="str">
        <x:v>기대 결과와 일치</x:v>
      </x:c>
      <x:c r="P554" s="73" t="str">
        <x:v>outputs/full-plan-20260719/95-admin-remaining-fresh.json</x:v>
      </x:c>
    </x:row>
    <x:row r="555">
      <x:c r="A555" s="80" t="n">
        <x:v>551</x:v>
      </x:c>
      <x:c r="B555" s="81" t="str">
        <x:v>ADM-ADS-BILL-004</x:v>
      </x:c>
      <x:c r="C555" s="73" t="str">
        <x:v>8.5 광고 캠페인</x:v>
      </x:c>
      <x:c r="D555" s="81" t="str">
        <x:v>P0</x:v>
      </x:c>
      <x:c r="E555" s="73" t="str">
        <x:v>ads/billing</x:v>
      </x:c>
      <x:c r="F555" s="73" t="str">
        <x:v>admin/ads/billing.html</x:v>
      </x:c>
      <x:c r="G555" s="73" t="str">
        <x:v>중복 청구</x:v>
      </x:c>
      <x:c r="H555" s="73" t="str">
        <x:v>동일 캠페인·기간 중복 차단</x:v>
      </x:c>
      <x:c r="I555" s="81" t="str">
        <x:v>PASS</x:v>
      </x:c>
      <x:c r="J555" s="81" t="str">
        <x:v>성공</x:v>
      </x:c>
      <x:c r="K555" s="81" t="str">
        <x:v>수정 완료</x:v>
      </x:c>
      <x:c r="L555" s="73" t="str">
        <x:v>광고 캠페인 CRUD·타게팅·과금 설정의 이벤트와 저장 검증을 보완</x:v>
      </x:c>
      <x:c r="M555" s="73" t="str"/>
      <x:c r="N555" s="73" t="str">
        <x:v>기대 결과 전체를 증명하는 전용 assertion 또는 구현 신호가 없음</x:v>
      </x:c>
      <x:c r="O555" s="73" t="str">
        <x:v>수정 후 동일 케이스를 재실행하여 기대 결과와 일치함</x:v>
      </x:c>
      <x:c r="P555" s="73" t="str">
        <x:v>outputs/full-plan-20260719/95-admin-remaining-fresh.json</x:v>
      </x:c>
    </x:row>
    <x:row r="556">
      <x:c r="A556" s="80" t="n">
        <x:v>552</x:v>
      </x:c>
      <x:c r="B556" s="81" t="str">
        <x:v>ADM-ADS-BILL-005</x:v>
      </x:c>
      <x:c r="C556" s="73" t="str">
        <x:v>8.5 광고 캠페인</x:v>
      </x:c>
      <x:c r="D556" s="81" t="str">
        <x:v>P1</x:v>
      </x:c>
      <x:c r="E556" s="73" t="str">
        <x:v>ads/billing</x:v>
      </x:c>
      <x:c r="F556" s="73" t="str">
        <x:v>admin/ads/billing.html</x:v>
      </x:c>
      <x:c r="G556" s="73" t="str">
        <x:v>기간/상태/광고주 필터</x:v>
      </x:c>
      <x:c r="H556" s="73" t="str">
        <x:v>합계와 목록 일치</x:v>
      </x:c>
      <x:c r="I556" s="81" t="str">
        <x:v>PASS</x:v>
      </x:c>
      <x:c r="J556" s="81" t="str">
        <x:v>성공</x:v>
      </x:c>
      <x:c r="K556" s="81" t="str">
        <x:v>수정 없음</x:v>
      </x:c>
      <x:c r="L556" s="73" t="str"/>
      <x:c r="M556" s="73" t="str"/>
      <x:c r="N556" s="73" t="str"/>
      <x:c r="O556" s="73" t="str">
        <x:v>기대 결과와 일치</x:v>
      </x:c>
      <x:c r="P556" s="73" t="str">
        <x:v>outputs/full-plan-20260719/95-admin-remaining-fresh.json</x:v>
      </x:c>
    </x:row>
    <x:row r="557">
      <x:c r="A557" s="80" t="n">
        <x:v>553</x:v>
      </x:c>
      <x:c r="B557" s="81" t="str">
        <x:v>ADM-ADS-BILL-006</x:v>
      </x:c>
      <x:c r="C557" s="73" t="str">
        <x:v>8.5 광고 캠페인</x:v>
      </x:c>
      <x:c r="D557" s="81" t="str">
        <x:v>P1</x:v>
      </x:c>
      <x:c r="E557" s="73" t="str">
        <x:v>ads/billing</x:v>
      </x:c>
      <x:c r="F557" s="73" t="str">
        <x:v>admin/ads/billing.html</x:v>
      </x:c>
      <x:c r="G557" s="73" t="str">
        <x:v>명세서/다운로드</x:v>
      </x:c>
      <x:c r="H557" s="73" t="str">
        <x:v>필터/통화/세부 항목 일치</x:v>
      </x:c>
      <x:c r="I557" s="81" t="str">
        <x:v>PASS</x:v>
      </x:c>
      <x:c r="J557" s="81" t="str">
        <x:v>성공</x:v>
      </x:c>
      <x:c r="K557" s="81" t="str">
        <x:v>수정 없음</x:v>
      </x:c>
      <x:c r="L557" s="73" t="str"/>
      <x:c r="M557" s="73" t="str"/>
      <x:c r="N557" s="73" t="str"/>
      <x:c r="O557" s="73" t="str">
        <x:v>기대 결과와 일치</x:v>
      </x:c>
      <x:c r="P557" s="73" t="str">
        <x:v>outputs/full-plan-20260719/95-admin-remaining-fresh.json</x:v>
      </x:c>
    </x:row>
    <x:row r="558">
      <x:c r="A558" s="80" t="n">
        <x:v>554</x:v>
      </x:c>
      <x:c r="B558" s="81" t="str">
        <x:v>ADM-ADS-BILL-007</x:v>
      </x:c>
      <x:c r="C558" s="73" t="str">
        <x:v>8.5 광고 캠페인</x:v>
      </x:c>
      <x:c r="D558" s="81" t="str">
        <x:v>P1</x:v>
      </x:c>
      <x:c r="E558" s="73" t="str">
        <x:v>ads/billing</x:v>
      </x:c>
      <x:c r="F558" s="73" t="str">
        <x:v>admin/ads/billing.html</x:v>
      </x:c>
      <x:c r="G558" s="73" t="str">
        <x:v>KO/EN</x:v>
      </x:c>
      <x:c r="H558" s="73" t="str">
        <x:v>통화/상태/버튼 번역 정확</x:v>
      </x:c>
      <x:c r="I558" s="81" t="str">
        <x:v>PASS</x:v>
      </x:c>
      <x:c r="J558" s="81" t="str">
        <x:v>성공</x:v>
      </x:c>
      <x:c r="K558" s="81" t="str">
        <x:v>수정 없음</x:v>
      </x:c>
      <x:c r="L558" s="73" t="str"/>
      <x:c r="M558" s="73" t="str"/>
      <x:c r="N558" s="73" t="str"/>
      <x:c r="O558" s="73" t="str">
        <x:v>기대 결과와 일치</x:v>
      </x:c>
      <x:c r="P558" s="73" t="str">
        <x:v>outputs/full-plan-20260719/95-admin-remaining-fresh.json</x:v>
      </x:c>
    </x:row>
    <x:row r="559">
      <x:c r="A559" s="80" t="n">
        <x:v>555</x:v>
      </x:c>
      <x:c r="B559" s="81" t="str">
        <x:v>ADM-ADS-BILL-008</x:v>
      </x:c>
      <x:c r="C559" s="73" t="str">
        <x:v>8.5 광고 캠페인</x:v>
      </x:c>
      <x:c r="D559" s="81" t="str">
        <x:v>P1</x:v>
      </x:c>
      <x:c r="E559" s="73" t="str">
        <x:v>ads/billing</x:v>
      </x:c>
      <x:c r="F559" s="73" t="str">
        <x:v>admin/ads/billing.html</x:v>
      </x:c>
      <x:c r="G559" s="73" t="str">
        <x:v>모바일</x:v>
      </x:c>
      <x:c r="H559" s="73" t="str">
        <x:v>상세/수납 액션 접근 가능</x:v>
      </x:c>
      <x:c r="I559" s="81" t="str">
        <x:v>PASS</x:v>
      </x:c>
      <x:c r="J559" s="81" t="str">
        <x:v>성공</x:v>
      </x:c>
      <x:c r="K559" s="81" t="str">
        <x:v>수정 없음</x:v>
      </x:c>
      <x:c r="L559" s="73" t="str"/>
      <x:c r="M559" s="73" t="str"/>
      <x:c r="N559" s="73" t="str"/>
      <x:c r="O559" s="73" t="str">
        <x:v>기대 결과와 일치</x:v>
      </x:c>
      <x:c r="P559" s="73" t="str">
        <x:v>outputs/full-plan-20260719/95-admin-remaining-fresh.json</x:v>
      </x:c>
    </x:row>
    <x:row r="560">
      <x:c r="A560" s="80" t="n">
        <x:v>556</x:v>
      </x:c>
      <x:c r="B560" s="81" t="str">
        <x:v>ADM-USER-001</x:v>
      </x:c>
      <x:c r="C560" s="73" t="str">
        <x:v>8.6 Admin 사용자 및 시스템 설정</x:v>
      </x:c>
      <x:c r="D560" s="81" t="str">
        <x:v>P0</x:v>
      </x:c>
      <x:c r="E560" s="73" t="str">
        <x:v>system/users</x:v>
      </x:c>
      <x:c r="F560" s="73" t="str">
        <x:v>admin/system/users.html</x:v>
      </x:c>
      <x:c r="G560" s="73" t="str">
        <x:v>사용자 목록/검색/상태/역할</x:v>
      </x:c>
      <x:c r="H560" s="73" t="str">
        <x:v>결과/건수 일치</x:v>
      </x:c>
      <x:c r="I560" s="81" t="str">
        <x:v>PASS</x:v>
      </x:c>
      <x:c r="J560" s="81" t="str">
        <x:v>성공</x:v>
      </x:c>
      <x:c r="K560" s="81" t="str">
        <x:v>수정 없음</x:v>
      </x:c>
      <x:c r="L560" s="73" t="str"/>
      <x:c r="M560" s="73" t="str"/>
      <x:c r="N560" s="73" t="str"/>
      <x:c r="O560" s="73" t="str">
        <x:v>기대 결과와 일치</x:v>
      </x:c>
      <x:c r="P560" s="73" t="str">
        <x:v>outputs/full-plan-20260719/94-admin-direct-fresh.json</x:v>
      </x:c>
    </x:row>
    <x:row r="561">
      <x:c r="A561" s="80" t="n">
        <x:v>557</x:v>
      </x:c>
      <x:c r="B561" s="81" t="str">
        <x:v>ADM-USER-002</x:v>
      </x:c>
      <x:c r="C561" s="73" t="str">
        <x:v>8.6 Admin 사용자 및 시스템 설정</x:v>
      </x:c>
      <x:c r="D561" s="81" t="str">
        <x:v>P0</x:v>
      </x:c>
      <x:c r="E561" s="73" t="str">
        <x:v>system/users</x:v>
      </x:c>
      <x:c r="F561" s="73" t="str">
        <x:v>admin/system/users.html</x:v>
      </x:c>
      <x:c r="G561" s="73" t="str">
        <x:v>사용자 등록/수정</x:v>
      </x:c>
      <x:c r="H561" s="73" t="str">
        <x:v>이메일/역할/상태 저장 및 로그인 반영</x:v>
      </x:c>
      <x:c r="I561" s="81" t="str">
        <x:v>PASS</x:v>
      </x:c>
      <x:c r="J561" s="81" t="str">
        <x:v>성공</x:v>
      </x:c>
      <x:c r="K561" s="81" t="str">
        <x:v>수정 없음</x:v>
      </x:c>
      <x:c r="L561" s="73" t="str"/>
      <x:c r="M561" s="73" t="str"/>
      <x:c r="N561" s="73" t="str"/>
      <x:c r="O561" s="73" t="str">
        <x:v>기대 결과와 일치</x:v>
      </x:c>
      <x:c r="P561" s="73" t="str">
        <x:v>outputs/full-plan-20260719/94-admin-direct-fresh.json</x:v>
      </x:c>
    </x:row>
    <x:row r="562">
      <x:c r="A562" s="80" t="n">
        <x:v>558</x:v>
      </x:c>
      <x:c r="B562" s="81" t="str">
        <x:v>ADM-USER-003</x:v>
      </x:c>
      <x:c r="C562" s="73" t="str">
        <x:v>8.6 Admin 사용자 및 시스템 설정</x:v>
      </x:c>
      <x:c r="D562" s="81" t="str">
        <x:v>P0</x:v>
      </x:c>
      <x:c r="E562" s="73" t="str">
        <x:v>system/users</x:v>
      </x:c>
      <x:c r="F562" s="73" t="str">
        <x:v>admin/system/users.html</x:v>
      </x:c>
      <x:c r="G562" s="73" t="str">
        <x:v>잠금/비활성</x:v>
      </x:c>
      <x:c r="H562" s="73" t="str">
        <x:v>로그인 차단과 세션 정책 적용</x:v>
      </x:c>
      <x:c r="I562" s="81" t="str">
        <x:v>PASS</x:v>
      </x:c>
      <x:c r="J562" s="81" t="str">
        <x:v>성공</x:v>
      </x:c>
      <x:c r="K562" s="81" t="str">
        <x:v>수정 없음</x:v>
      </x:c>
      <x:c r="L562" s="73" t="str"/>
      <x:c r="M562" s="73" t="str"/>
      <x:c r="N562" s="73" t="str"/>
      <x:c r="O562" s="73" t="str">
        <x:v>기대 결과와 일치</x:v>
      </x:c>
      <x:c r="P562" s="73" t="str">
        <x:v>outputs/full-plan-20260719/94-admin-direct-fresh.json</x:v>
      </x:c>
    </x:row>
    <x:row r="563">
      <x:c r="A563" s="80" t="n">
        <x:v>559</x:v>
      </x:c>
      <x:c r="B563" s="81" t="str">
        <x:v>ADM-USER-004</x:v>
      </x:c>
      <x:c r="C563" s="73" t="str">
        <x:v>8.6 Admin 사용자 및 시스템 설정</x:v>
      </x:c>
      <x:c r="D563" s="81" t="str">
        <x:v>P0</x:v>
      </x:c>
      <x:c r="E563" s="73" t="str">
        <x:v>system/users</x:v>
      </x:c>
      <x:c r="F563" s="73" t="str">
        <x:v>admin/system/users.html</x:v>
      </x:c>
      <x:c r="G563" s="73" t="str">
        <x:v>비밀번호 재설정</x:v>
      </x:c>
      <x:c r="H563" s="73" t="str">
        <x:v>만료 토큰/재사용 차단</x:v>
      </x:c>
      <x:c r="I563" s="81" t="str">
        <x:v>PASS</x:v>
      </x:c>
      <x:c r="J563" s="81" t="str">
        <x:v>성공</x:v>
      </x:c>
      <x:c r="K563" s="81" t="str">
        <x:v>수정 없음</x:v>
      </x:c>
      <x:c r="L563" s="73" t="str"/>
      <x:c r="M563" s="73" t="str"/>
      <x:c r="N563" s="73" t="str"/>
      <x:c r="O563" s="73" t="str">
        <x:v>기대 결과와 일치</x:v>
      </x:c>
      <x:c r="P563" s="73" t="str">
        <x:v>outputs/full-plan-20260719/94-admin-direct-fresh.json</x:v>
      </x:c>
    </x:row>
    <x:row r="564">
      <x:c r="A564" s="80" t="n">
        <x:v>560</x:v>
      </x:c>
      <x:c r="B564" s="81" t="str">
        <x:v>ADM-USER-005</x:v>
      </x:c>
      <x:c r="C564" s="73" t="str">
        <x:v>8.6 Admin 사용자 및 시스템 설정</x:v>
      </x:c>
      <x:c r="D564" s="81" t="str">
        <x:v>P0</x:v>
      </x:c>
      <x:c r="E564" s="73" t="str">
        <x:v>system/users</x:v>
      </x:c>
      <x:c r="F564" s="73" t="str">
        <x:v>admin/system/users.html</x:v>
      </x:c>
      <x:c r="G564" s="73" t="str">
        <x:v>최종 최고관리자 보호</x:v>
      </x:c>
      <x:c r="H564" s="73" t="str">
        <x:v>삭제/권한 제거 차단</x:v>
      </x:c>
      <x:c r="I564" s="81" t="str">
        <x:v>PASS</x:v>
      </x:c>
      <x:c r="J564" s="81" t="str">
        <x:v>성공</x:v>
      </x:c>
      <x:c r="K564" s="81" t="str">
        <x:v>수정 없음</x:v>
      </x:c>
      <x:c r="L564" s="73" t="str"/>
      <x:c r="M564" s="73" t="str"/>
      <x:c r="N564" s="73" t="str"/>
      <x:c r="O564" s="73" t="str">
        <x:v>기대 결과와 일치</x:v>
      </x:c>
      <x:c r="P564" s="73" t="str">
        <x:v>outputs/full-plan-20260719/94-admin-direct-fresh.json</x:v>
      </x:c>
    </x:row>
    <x:row r="565">
      <x:c r="A565" s="80" t="n">
        <x:v>561</x:v>
      </x:c>
      <x:c r="B565" s="81" t="str">
        <x:v>ADM-USER-006</x:v>
      </x:c>
      <x:c r="C565" s="73" t="str">
        <x:v>8.6 Admin 사용자 및 시스템 설정</x:v>
      </x:c>
      <x:c r="D565" s="81" t="str">
        <x:v>P1</x:v>
      </x:c>
      <x:c r="E565" s="73" t="str">
        <x:v>system/users</x:v>
      </x:c>
      <x:c r="F565" s="73" t="str">
        <x:v>admin/system/users.html</x:v>
      </x:c>
      <x:c r="G565" s="73" t="str">
        <x:v>삭제</x:v>
      </x:c>
      <x:c r="H565" s="73" t="str">
        <x:v>감사 이력 보존 정책 적용</x:v>
      </x:c>
      <x:c r="I565" s="81" t="str">
        <x:v>PASS</x:v>
      </x:c>
      <x:c r="J565" s="81" t="str">
        <x:v>성공</x:v>
      </x:c>
      <x:c r="K565" s="81" t="str">
        <x:v>수정 없음</x:v>
      </x:c>
      <x:c r="L565" s="73" t="str"/>
      <x:c r="M565" s="73" t="str"/>
      <x:c r="N565" s="73" t="str"/>
      <x:c r="O565" s="73" t="str">
        <x:v>기대 결과와 일치</x:v>
      </x:c>
      <x:c r="P565" s="73" t="str">
        <x:v>outputs/full-plan-20260719/94-admin-direct-fresh.json</x:v>
      </x:c>
    </x:row>
    <x:row r="566">
      <x:c r="A566" s="80" t="n">
        <x:v>562</x:v>
      </x:c>
      <x:c r="B566" s="81" t="str">
        <x:v>ADM-USER-007</x:v>
      </x:c>
      <x:c r="C566" s="73" t="str">
        <x:v>8.6 Admin 사용자 및 시스템 설정</x:v>
      </x:c>
      <x:c r="D566" s="81" t="str">
        <x:v>P1</x:v>
      </x:c>
      <x:c r="E566" s="73" t="str">
        <x:v>system/users</x:v>
      </x:c>
      <x:c r="F566" s="73" t="str">
        <x:v>admin/system/users.html</x:v>
      </x:c>
      <x:c r="G566" s="73" t="str">
        <x:v>KO/EN/모바일</x:v>
      </x:c>
      <x:c r="H566" s="73" t="str">
        <x:v>혼용/넘침 없이 CRUD 가능</x:v>
      </x:c>
      <x:c r="I566" s="81" t="str">
        <x:v>PASS</x:v>
      </x:c>
      <x:c r="J566" s="81" t="str">
        <x:v>성공</x:v>
      </x:c>
      <x:c r="K566" s="81" t="str">
        <x:v>수정 없음</x:v>
      </x:c>
      <x:c r="L566" s="73" t="str"/>
      <x:c r="M566" s="73" t="str"/>
      <x:c r="N566" s="73" t="str"/>
      <x:c r="O566" s="73" t="str">
        <x:v>기대 결과와 일치</x:v>
      </x:c>
      <x:c r="P566" s="73" t="str">
        <x:v>outputs/full-plan-20260719/94-admin-direct-fresh.json</x:v>
      </x:c>
    </x:row>
    <x:row r="567">
      <x:c r="A567" s="80" t="n">
        <x:v>563</x:v>
      </x:c>
      <x:c r="B567" s="81" t="str">
        <x:v>ADM-USER-008</x:v>
      </x:c>
      <x:c r="C567" s="73" t="str">
        <x:v>8.6 Admin 사용자 및 시스템 설정</x:v>
      </x:c>
      <x:c r="D567" s="81" t="str">
        <x:v>P1</x:v>
      </x:c>
      <x:c r="E567" s="73" t="str">
        <x:v>system/users</x:v>
      </x:c>
      <x:c r="F567" s="73" t="str">
        <x:v>admin/system/users.html</x:v>
      </x:c>
      <x:c r="G567" s="73" t="str">
        <x:v>직접 API 권한 우회</x:v>
      </x:c>
      <x:c r="H567" s="73" t="str">
        <x:v>서버 권한 검증으로 차단</x:v>
      </x:c>
      <x:c r="I567" s="81" t="str">
        <x:v>BLOCKED</x:v>
      </x:c>
      <x:c r="J567" s="81" t="str">
        <x:v>차단</x:v>
      </x:c>
      <x:c r="K567" s="81" t="str">
        <x:v>검증 차단</x:v>
      </x:c>
      <x:c r="L567" s="73" t="str"/>
      <x:c r="M567" s="73" t="str">
        <x:v>정적 JSON·localStorage 데모에서는 실제 Admin API 서버의 역할 강제 검증이 불가능함</x:v>
      </x:c>
      <x:c r="N567" s="73" t="str">
        <x:v>기대 결과 전체를 증명하는 전용 assertion 또는 구현 신호가 없음</x:v>
      </x:c>
      <x:c r="O567" s="73" t="str">
        <x:v>화면·데이터·브라우저 단계까지 확인했으나 서버 권한 검증은 외부 환경이 필요함</x:v>
      </x:c>
      <x:c r="P567" s="73" t="str">
        <x:v>outputs/full-plan-20260719/97-gap-fixes-full-fresh.json</x:v>
      </x:c>
    </x:row>
    <x:row r="568">
      <x:c r="A568" s="80" t="n">
        <x:v>564</x:v>
      </x:c>
      <x:c r="B568" s="81" t="str">
        <x:v>ADM-BILL-001</x:v>
      </x:c>
      <x:c r="C568" s="73" t="str">
        <x:v>8.6 Admin 사용자 및 시스템 설정</x:v>
      </x:c>
      <x:c r="D568" s="81" t="str">
        <x:v>P0</x:v>
      </x:c>
      <x:c r="E568" s="73" t="str">
        <x:v>system/billing</x:v>
      </x:c>
      <x:c r="F568" s="73" t="str">
        <x:v>admin/system/billing.html</x:v>
      </x:c>
      <x:c r="G568" s="73" t="str">
        <x:v>호텔별 청구/수납 목록</x:v>
      </x:c>
      <x:c r="H568" s="73" t="str">
        <x:v>계약/요금제/기간/금액 일치</x:v>
      </x:c>
      <x:c r="I568" s="81" t="str">
        <x:v>PASS</x:v>
      </x:c>
      <x:c r="J568" s="81" t="str">
        <x:v>성공</x:v>
      </x:c>
      <x:c r="K568" s="81" t="str">
        <x:v>수정 완료</x:v>
      </x:c>
      <x:c r="L568" s="73" t="str">
        <x:v>결제 설정의 임시 동작을 제거하고 입력·저장·재조회 흐름을 보완</x:v>
      </x:c>
      <x:c r="M568" s="73" t="str"/>
      <x:c r="N568" s="73" t="str">
        <x:v>업무 저장/상태 전이 대신 안내 alert만 실행되는 placeholder 구현</x:v>
      </x:c>
      <x:c r="O568" s="73" t="str">
        <x:v>수정 후 동일 케이스를 재실행하여 기대 결과와 일치함</x:v>
      </x:c>
      <x:c r="P568" s="73" t="str">
        <x:v>outputs/full-plan-20260719/95-admin-remaining-fresh.json</x:v>
      </x:c>
    </x:row>
    <x:row r="569">
      <x:c r="A569" s="80" t="n">
        <x:v>565</x:v>
      </x:c>
      <x:c r="B569" s="81" t="str">
        <x:v>ADM-BILL-002</x:v>
      </x:c>
      <x:c r="C569" s="73" t="str">
        <x:v>8.6 Admin 사용자 및 시스템 설정</x:v>
      </x:c>
      <x:c r="D569" s="81" t="str">
        <x:v>P0</x:v>
      </x:c>
      <x:c r="E569" s="73" t="str">
        <x:v>system/billing</x:v>
      </x:c>
      <x:c r="F569" s="73" t="str">
        <x:v>admin/system/billing.html</x:v>
      </x:c>
      <x:c r="G569" s="73" t="str">
        <x:v>청구 생성/수정/취소</x:v>
      </x:c>
      <x:c r="H569" s="73" t="str">
        <x:v>상태 전이와 감사 이력 정확</x:v>
      </x:c>
      <x:c r="I569" s="81" t="str">
        <x:v>PASS</x:v>
      </x:c>
      <x:c r="J569" s="81" t="str">
        <x:v>성공</x:v>
      </x:c>
      <x:c r="K569" s="81" t="str">
        <x:v>수정 완료</x:v>
      </x:c>
      <x:c r="L569" s="73" t="str">
        <x:v>결제 설정의 임시 동작을 제거하고 입력·저장·재조회 흐름을 보완</x:v>
      </x:c>
      <x:c r="M569" s="73" t="str"/>
      <x:c r="N569" s="73" t="str">
        <x:v>업무 저장/상태 전이 대신 안내 alert만 실행되는 placeholder 구현</x:v>
      </x:c>
      <x:c r="O569" s="73" t="str">
        <x:v>수정 후 동일 케이스를 재실행하여 기대 결과와 일치함</x:v>
      </x:c>
      <x:c r="P569" s="73" t="str">
        <x:v>outputs/full-plan-20260719/95-admin-remaining-fresh.json</x:v>
      </x:c>
    </x:row>
    <x:row r="570">
      <x:c r="A570" s="80" t="n">
        <x:v>566</x:v>
      </x:c>
      <x:c r="B570" s="81" t="str">
        <x:v>ADM-BILL-003</x:v>
      </x:c>
      <x:c r="C570" s="73" t="str">
        <x:v>8.6 Admin 사용자 및 시스템 설정</x:v>
      </x:c>
      <x:c r="D570" s="81" t="str">
        <x:v>P0</x:v>
      </x:c>
      <x:c r="E570" s="73" t="str">
        <x:v>system/billing</x:v>
      </x:c>
      <x:c r="F570" s="73" t="str">
        <x:v>admin/system/billing.html</x:v>
      </x:c>
      <x:c r="G570" s="73" t="str">
        <x:v>수납/부분수납/환불</x:v>
      </x:c>
      <x:c r="H570" s="73" t="str">
        <x:v>잔액과 상태 정확</x:v>
      </x:c>
      <x:c r="I570" s="81" t="str">
        <x:v>PASS</x:v>
      </x:c>
      <x:c r="J570" s="81" t="str">
        <x:v>성공</x:v>
      </x:c>
      <x:c r="K570" s="81" t="str">
        <x:v>수정 완료</x:v>
      </x:c>
      <x:c r="L570" s="73" t="str">
        <x:v>결제 설정의 임시 동작을 제거하고 입력·저장·재조회 흐름을 보완</x:v>
      </x:c>
      <x:c r="M570" s="73" t="str"/>
      <x:c r="N570" s="73" t="str">
        <x:v>업무 저장/상태 전이 대신 안내 alert만 실행되는 placeholder 구현</x:v>
      </x:c>
      <x:c r="O570" s="73" t="str">
        <x:v>수정 후 동일 케이스를 재실행하여 기대 결과와 일치함</x:v>
      </x:c>
      <x:c r="P570" s="73" t="str">
        <x:v>outputs/full-plan-20260719/95-admin-remaining-fresh.json</x:v>
      </x:c>
    </x:row>
    <x:row r="571">
      <x:c r="A571" s="80" t="n">
        <x:v>567</x:v>
      </x:c>
      <x:c r="B571" s="81" t="str">
        <x:v>ADM-BILL-004</x:v>
      </x:c>
      <x:c r="C571" s="73" t="str">
        <x:v>8.6 Admin 사용자 및 시스템 설정</x:v>
      </x:c>
      <x:c r="D571" s="81" t="str">
        <x:v>P0</x:v>
      </x:c>
      <x:c r="E571" s="73" t="str">
        <x:v>system/billing</x:v>
      </x:c>
      <x:c r="F571" s="73" t="str">
        <x:v>admin/system/billing.html</x:v>
      </x:c>
      <x:c r="G571" s="73" t="str">
        <x:v>연체/서비스 정지 정책</x:v>
      </x:c>
      <x:c r="H571" s="73" t="str">
        <x:v>기준일에 맞게 경고/상태 적용</x:v>
      </x:c>
      <x:c r="I571" s="81" t="str">
        <x:v>PASS</x:v>
      </x:c>
      <x:c r="J571" s="81" t="str">
        <x:v>성공</x:v>
      </x:c>
      <x:c r="K571" s="81" t="str">
        <x:v>수정 완료</x:v>
      </x:c>
      <x:c r="L571" s="73" t="str">
        <x:v>결제 설정의 임시 동작을 제거하고 입력·저장·재조회 흐름을 보완</x:v>
      </x:c>
      <x:c r="M571" s="73" t="str"/>
      <x:c r="N571" s="73" t="str">
        <x:v>업무 저장/상태 전이 대신 안내 alert만 실행되는 placeholder 구현</x:v>
      </x:c>
      <x:c r="O571" s="73" t="str">
        <x:v>수정 후 동일 케이스를 재실행하여 기대 결과와 일치함</x:v>
      </x:c>
      <x:c r="P571" s="73" t="str">
        <x:v>outputs/full-plan-20260719/95-admin-remaining-fresh.json</x:v>
      </x:c>
    </x:row>
    <x:row r="572">
      <x:c r="A572" s="80" t="n">
        <x:v>568</x:v>
      </x:c>
      <x:c r="B572" s="81" t="str">
        <x:v>ADM-BILL-005</x:v>
      </x:c>
      <x:c r="C572" s="73" t="str">
        <x:v>8.6 Admin 사용자 및 시스템 설정</x:v>
      </x:c>
      <x:c r="D572" s="81" t="str">
        <x:v>P1</x:v>
      </x:c>
      <x:c r="E572" s="73" t="str">
        <x:v>system/billing</x:v>
      </x:c>
      <x:c r="F572" s="73" t="str">
        <x:v>admin/system/billing.html</x:v>
      </x:c>
      <x:c r="G572" s="73" t="str">
        <x:v>기간/상태/호텔 필터</x:v>
      </x:c>
      <x:c r="H572" s="73" t="str">
        <x:v>목록/KPI/합계 일치</x:v>
      </x:c>
      <x:c r="I572" s="81" t="str">
        <x:v>PASS</x:v>
      </x:c>
      <x:c r="J572" s="81" t="str">
        <x:v>성공</x:v>
      </x:c>
      <x:c r="K572" s="81" t="str">
        <x:v>수정 없음</x:v>
      </x:c>
      <x:c r="L572" s="73" t="str"/>
      <x:c r="M572" s="73" t="str"/>
      <x:c r="N572" s="73" t="str"/>
      <x:c r="O572" s="73" t="str">
        <x:v>기대 결과와 일치</x:v>
      </x:c>
      <x:c r="P572" s="73" t="str">
        <x:v>outputs/full-plan-20260719/95-admin-remaining-fresh.json</x:v>
      </x:c>
    </x:row>
    <x:row r="573">
      <x:c r="A573" s="80" t="n">
        <x:v>569</x:v>
      </x:c>
      <x:c r="B573" s="81" t="str">
        <x:v>ADM-BILL-006</x:v>
      </x:c>
      <x:c r="C573" s="73" t="str">
        <x:v>8.6 Admin 사용자 및 시스템 설정</x:v>
      </x:c>
      <x:c r="D573" s="81" t="str">
        <x:v>P1</x:v>
      </x:c>
      <x:c r="E573" s="73" t="str">
        <x:v>system/billing</x:v>
      </x:c>
      <x:c r="F573" s="73" t="str">
        <x:v>admin/system/billing.html</x:v>
      </x:c>
      <x:c r="G573" s="73" t="str">
        <x:v>통화 혼합</x:v>
      </x:c>
      <x:c r="H573" s="73" t="str">
        <x:v>통화별 구분 또는 환율 기준 명시</x:v>
      </x:c>
      <x:c r="I573" s="81" t="str">
        <x:v>PASS</x:v>
      </x:c>
      <x:c r="J573" s="81" t="str">
        <x:v>성공</x:v>
      </x:c>
      <x:c r="K573" s="81" t="str">
        <x:v>수정 완료</x:v>
      </x:c>
      <x:c r="L573" s="73" t="str">
        <x:v>결제 설정의 임시 동작을 제거하고 입력·저장·재조회 흐름을 보완</x:v>
      </x:c>
      <x:c r="M573" s="73" t="str"/>
      <x:c r="N573" s="73" t="str">
        <x:v>기대 결과 전체를 증명하는 전용 assertion 또는 구현 신호가 없음</x:v>
      </x:c>
      <x:c r="O573" s="73" t="str">
        <x:v>수정 후 동일 케이스를 재실행하여 기대 결과와 일치함</x:v>
      </x:c>
      <x:c r="P573" s="73" t="str">
        <x:v>outputs/full-plan-20260719/95-admin-remaining-fresh.json</x:v>
      </x:c>
    </x:row>
    <x:row r="574">
      <x:c r="A574" s="80" t="n">
        <x:v>570</x:v>
      </x:c>
      <x:c r="B574" s="81" t="str">
        <x:v>ADM-BILL-007</x:v>
      </x:c>
      <x:c r="C574" s="73" t="str">
        <x:v>8.6 Admin 사용자 및 시스템 설정</x:v>
      </x:c>
      <x:c r="D574" s="81" t="str">
        <x:v>P1</x:v>
      </x:c>
      <x:c r="E574" s="73" t="str">
        <x:v>system/billing</x:v>
      </x:c>
      <x:c r="F574" s="73" t="str">
        <x:v>admin/system/billing.html</x:v>
      </x:c>
      <x:c r="G574" s="73" t="str">
        <x:v>청구서/다운로드</x:v>
      </x:c>
      <x:c r="H574" s="73" t="str">
        <x:v>화면과 항목/합계 일치</x:v>
      </x:c>
      <x:c r="I574" s="81" t="str">
        <x:v>PASS</x:v>
      </x:c>
      <x:c r="J574" s="81" t="str">
        <x:v>성공</x:v>
      </x:c>
      <x:c r="K574" s="81" t="str">
        <x:v>수정 없음</x:v>
      </x:c>
      <x:c r="L574" s="73" t="str"/>
      <x:c r="M574" s="73" t="str"/>
      <x:c r="N574" s="73" t="str"/>
      <x:c r="O574" s="73" t="str">
        <x:v>기대 결과와 일치</x:v>
      </x:c>
      <x:c r="P574" s="73" t="str">
        <x:v>outputs/full-plan-20260719/95-admin-remaining-fresh.json</x:v>
      </x:c>
    </x:row>
    <x:row r="575">
      <x:c r="A575" s="80" t="n">
        <x:v>571</x:v>
      </x:c>
      <x:c r="B575" s="81" t="str">
        <x:v>ADM-BILL-008</x:v>
      </x:c>
      <x:c r="C575" s="73" t="str">
        <x:v>8.6 Admin 사용자 및 시스템 설정</x:v>
      </x:c>
      <x:c r="D575" s="81" t="str">
        <x:v>P1</x:v>
      </x:c>
      <x:c r="E575" s="73" t="str">
        <x:v>system/billing</x:v>
      </x:c>
      <x:c r="F575" s="73" t="str">
        <x:v>admin/system/billing.html</x:v>
      </x:c>
      <x:c r="G575" s="73" t="str">
        <x:v>실패 재시도</x:v>
      </x:c>
      <x:c r="H575" s="73" t="str">
        <x:v>중복 청구/수납 없음</x:v>
      </x:c>
      <x:c r="I575" s="81" t="str">
        <x:v>PASS</x:v>
      </x:c>
      <x:c r="J575" s="81" t="str">
        <x:v>성공</x:v>
      </x:c>
      <x:c r="K575" s="81" t="str">
        <x:v>수정 완료</x:v>
      </x:c>
      <x:c r="L575" s="73" t="str">
        <x:v>결제 설정의 임시 동작을 제거하고 입력·저장·재조회 흐름을 보완</x:v>
      </x:c>
      <x:c r="M575" s="73" t="str"/>
      <x:c r="N575" s="73" t="str">
        <x:v>업무 저장/상태 전이 대신 안내 alert만 실행되는 placeholder 구현</x:v>
      </x:c>
      <x:c r="O575" s="73" t="str">
        <x:v>수정 후 동일 케이스를 재실행하여 기대 결과와 일치함</x:v>
      </x:c>
      <x:c r="P575" s="73" t="str">
        <x:v>outputs/full-plan-20260719/95-admin-remaining-fresh.json</x:v>
      </x:c>
    </x:row>
    <x:row r="576">
      <x:c r="A576" s="80" t="n">
        <x:v>572</x:v>
      </x:c>
      <x:c r="B576" s="81" t="str">
        <x:v>ADM-BILL-009</x:v>
      </x:c>
      <x:c r="C576" s="73" t="str">
        <x:v>8.6 Admin 사용자 및 시스템 설정</x:v>
      </x:c>
      <x:c r="D576" s="81" t="str">
        <x:v>P1</x:v>
      </x:c>
      <x:c r="E576" s="73" t="str">
        <x:v>system/billing</x:v>
      </x:c>
      <x:c r="F576" s="73" t="str">
        <x:v>admin/system/billing.html</x:v>
      </x:c>
      <x:c r="G576" s="73" t="str">
        <x:v>KO/EN</x:v>
      </x:c>
      <x:c r="H576" s="73" t="str">
        <x:v>상태/통화/날짜 번역 정확</x:v>
      </x:c>
      <x:c r="I576" s="81" t="str">
        <x:v>PASS</x:v>
      </x:c>
      <x:c r="J576" s="81" t="str">
        <x:v>성공</x:v>
      </x:c>
      <x:c r="K576" s="81" t="str">
        <x:v>수정 없음</x:v>
      </x:c>
      <x:c r="L576" s="73" t="str"/>
      <x:c r="M576" s="73" t="str"/>
      <x:c r="N576" s="73" t="str"/>
      <x:c r="O576" s="73" t="str">
        <x:v>기대 결과와 일치</x:v>
      </x:c>
      <x:c r="P576" s="73" t="str">
        <x:v>outputs/full-plan-20260719/95-admin-remaining-fresh.json</x:v>
      </x:c>
    </x:row>
    <x:row r="577">
      <x:c r="A577" s="80" t="n">
        <x:v>573</x:v>
      </x:c>
      <x:c r="B577" s="81" t="str">
        <x:v>ADM-BILL-010</x:v>
      </x:c>
      <x:c r="C577" s="73" t="str">
        <x:v>8.6 Admin 사용자 및 시스템 설정</x:v>
      </x:c>
      <x:c r="D577" s="81" t="str">
        <x:v>P1</x:v>
      </x:c>
      <x:c r="E577" s="73" t="str">
        <x:v>system/billing</x:v>
      </x:c>
      <x:c r="F577" s="73" t="str">
        <x:v>admin/system/billing.html</x:v>
      </x:c>
      <x:c r="G577" s="73" t="str">
        <x:v>모바일</x:v>
      </x:c>
      <x:c r="H577" s="73" t="str">
        <x:v>핵심 합계와 상세 액션 접근 가능</x:v>
      </x:c>
      <x:c r="I577" s="81" t="str">
        <x:v>PASS</x:v>
      </x:c>
      <x:c r="J577" s="81" t="str">
        <x:v>성공</x:v>
      </x:c>
      <x:c r="K577" s="81" t="str">
        <x:v>수정 없음</x:v>
      </x:c>
      <x:c r="L577" s="73" t="str"/>
      <x:c r="M577" s="73" t="str"/>
      <x:c r="N577" s="73" t="str"/>
      <x:c r="O577" s="73" t="str">
        <x:v>기대 결과와 일치</x:v>
      </x:c>
      <x:c r="P577" s="73" t="str">
        <x:v>outputs/full-plan-20260719/95-admin-remaining-fresh.json</x:v>
      </x:c>
    </x:row>
    <x:row r="578">
      <x:c r="A578" s="80" t="n">
        <x:v>574</x:v>
      </x:c>
      <x:c r="B578" s="81" t="str">
        <x:v>ADM-INT-001</x:v>
      </x:c>
      <x:c r="C578" s="73" t="str">
        <x:v>8.6 Admin 사용자 및 시스템 설정</x:v>
      </x:c>
      <x:c r="D578" s="81" t="str">
        <x:v>P0</x:v>
      </x:c>
      <x:c r="E578" s="73" t="str">
        <x:v>system/integrations</x:v>
      </x:c>
      <x:c r="F578" s="73" t="str">
        <x:v>admin/system/integrations.html</x:v>
      </x:c>
      <x:c r="G578" s="73" t="str">
        <x:v>연동 목록/상태</x:v>
      </x:c>
      <x:c r="H578" s="73" t="str">
        <x:v>호텔/서비스/최근 동기화/오류 정확</x:v>
      </x:c>
      <x:c r="I578" s="81" t="str">
        <x:v>PASS</x:v>
      </x:c>
      <x:c r="J578" s="81" t="str">
        <x:v>성공</x:v>
      </x:c>
      <x:c r="K578" s="81" t="str">
        <x:v>수정 없음</x:v>
      </x:c>
      <x:c r="L578" s="73" t="str"/>
      <x:c r="M578" s="73" t="str"/>
      <x:c r="N578" s="73" t="str"/>
      <x:c r="O578" s="73" t="str">
        <x:v>기대 결과와 일치</x:v>
      </x:c>
      <x:c r="P578" s="73" t="str">
        <x:v>outputs/full-plan-20260719/95-admin-remaining-fresh.json</x:v>
      </x:c>
    </x:row>
    <x:row r="579">
      <x:c r="A579" s="80" t="n">
        <x:v>575</x:v>
      </x:c>
      <x:c r="B579" s="81" t="str">
        <x:v>ADM-INT-002</x:v>
      </x:c>
      <x:c r="C579" s="73" t="str">
        <x:v>8.6 Admin 사용자 및 시스템 설정</x:v>
      </x:c>
      <x:c r="D579" s="81" t="str">
        <x:v>P0</x:v>
      </x:c>
      <x:c r="E579" s="73" t="str">
        <x:v>system/integrations</x:v>
      </x:c>
      <x:c r="F579" s="73" t="str">
        <x:v>admin/system/integrations.html</x:v>
      </x:c>
      <x:c r="G579" s="73" t="str">
        <x:v>API 키 등록/회전/폐기</x:v>
      </x:c>
      <x:c r="H579" s="73" t="str">
        <x:v>비밀값 재노출 금지, 기존 키 정책 적용</x:v>
      </x:c>
      <x:c r="I579" s="81" t="str">
        <x:v>PASS</x:v>
      </x:c>
      <x:c r="J579" s="81" t="str">
        <x:v>성공</x:v>
      </x:c>
      <x:c r="K579" s="81" t="str">
        <x:v>수정 없음</x:v>
      </x:c>
      <x:c r="L579" s="73" t="str"/>
      <x:c r="M579" s="73" t="str"/>
      <x:c r="N579" s="73" t="str"/>
      <x:c r="O579" s="73" t="str">
        <x:v>기대 결과와 일치</x:v>
      </x:c>
      <x:c r="P579" s="73" t="str">
        <x:v>outputs/full-plan-20260719/95-admin-remaining-fresh.json</x:v>
      </x:c>
    </x:row>
    <x:row r="580">
      <x:c r="A580" s="80" t="n">
        <x:v>576</x:v>
      </x:c>
      <x:c r="B580" s="81" t="str">
        <x:v>ADM-INT-003</x:v>
      </x:c>
      <x:c r="C580" s="73" t="str">
        <x:v>8.6 Admin 사용자 및 시스템 설정</x:v>
      </x:c>
      <x:c r="D580" s="81" t="str">
        <x:v>P0</x:v>
      </x:c>
      <x:c r="E580" s="73" t="str">
        <x:v>system/integrations</x:v>
      </x:c>
      <x:c r="F580" s="73" t="str">
        <x:v>admin/system/integrations.html</x:v>
      </x:c>
      <x:c r="G580" s="73" t="str">
        <x:v>연결 테스트</x:v>
      </x:c>
      <x:c r="H580" s="73" t="str">
        <x:v>실제 성공/실패와 응답시간 표시</x:v>
      </x:c>
      <x:c r="I580" s="81" t="str">
        <x:v>BLOCKED</x:v>
      </x:c>
      <x:c r="J580" s="81" t="str">
        <x:v>차단</x:v>
      </x:c>
      <x:c r="K580" s="81" t="str">
        <x:v>검증 차단</x:v>
      </x:c>
      <x:c r="L580" s="73" t="str"/>
      <x:c r="M580" s="73" t="str">
        <x:v>실제 외부 endpoint가 연결되지 않음</x:v>
      </x:c>
      <x:c r="N580" s="73" t="str"/>
      <x:c r="O580" s="73" t="str">
        <x:v>화면·데이터·브라우저 단계까지 확인했으나 외부 연동 검증은 외부 환경이 필요함</x:v>
      </x:c>
      <x:c r="P580" s="73" t="str">
        <x:v>outputs/full-plan-20260719/95-admin-remaining-fresh.json</x:v>
      </x:c>
    </x:row>
    <x:row r="581">
      <x:c r="A581" s="80" t="n">
        <x:v>577</x:v>
      </x:c>
      <x:c r="B581" s="81" t="str">
        <x:v>ADM-INT-004</x:v>
      </x:c>
      <x:c r="C581" s="73" t="str">
        <x:v>8.6 Admin 사용자 및 시스템 설정</x:v>
      </x:c>
      <x:c r="D581" s="81" t="str">
        <x:v>P0</x:v>
      </x:c>
      <x:c r="E581" s="73" t="str">
        <x:v>system/integrations</x:v>
      </x:c>
      <x:c r="F581" s="73" t="str">
        <x:v>admin/system/integrations.html</x:v>
      </x:c>
      <x:c r="G581" s="73" t="str">
        <x:v>동기화 재실행</x:v>
      </x:c>
      <x:c r="H581" s="73" t="str">
        <x:v>중복 데이터 없이 재처리</x:v>
      </x:c>
      <x:c r="I581" s="81" t="str">
        <x:v>PASS</x:v>
      </x:c>
      <x:c r="J581" s="81" t="str">
        <x:v>성공</x:v>
      </x:c>
      <x:c r="K581" s="81" t="str">
        <x:v>수정 없음</x:v>
      </x:c>
      <x:c r="L581" s="73" t="str"/>
      <x:c r="M581" s="73" t="str"/>
      <x:c r="N581" s="73" t="str"/>
      <x:c r="O581" s="73" t="str">
        <x:v>기대 결과와 일치</x:v>
      </x:c>
      <x:c r="P581" s="73" t="str">
        <x:v>outputs/full-plan-20260719/95-admin-remaining-fresh.json</x:v>
      </x:c>
    </x:row>
    <x:row r="582">
      <x:c r="A582" s="80" t="n">
        <x:v>578</x:v>
      </x:c>
      <x:c r="B582" s="81" t="str">
        <x:v>ADM-INT-005</x:v>
      </x:c>
      <x:c r="C582" s="73" t="str">
        <x:v>8.6 Admin 사용자 및 시스템 설정</x:v>
      </x:c>
      <x:c r="D582" s="81" t="str">
        <x:v>P0</x:v>
      </x:c>
      <x:c r="E582" s="73" t="str">
        <x:v>system/integrations</x:v>
      </x:c>
      <x:c r="F582" s="73" t="str">
        <x:v>admin/system/integrations.html</x:v>
      </x:c>
      <x:c r="G582" s="73" t="str">
        <x:v>Webhook 실패/재시도</x:v>
      </x:c>
      <x:c r="H582" s="73" t="str">
        <x:v>순서/멱등성/최대 재시도 정책 적용</x:v>
      </x:c>
      <x:c r="I582" s="81" t="str">
        <x:v>BLOCKED</x:v>
      </x:c>
      <x:c r="J582" s="81" t="str">
        <x:v>차단</x:v>
      </x:c>
      <x:c r="K582" s="81" t="str">
        <x:v>검증 차단</x:v>
      </x:c>
      <x:c r="L582" s="73" t="str"/>
      <x:c r="M582" s="73" t="str">
        <x:v>실제 webhook 재시도 대상 서버가 연결되지 않음</x:v>
      </x:c>
      <x:c r="N582" s="73" t="str"/>
      <x:c r="O582" s="73" t="str">
        <x:v>화면·데이터·브라우저 단계까지 확인했으나 외부 연동 검증은 외부 환경이 필요함</x:v>
      </x:c>
      <x:c r="P582" s="73" t="str">
        <x:v>outputs/full-plan-20260719/95-admin-remaining-fresh.json</x:v>
      </x:c>
    </x:row>
    <x:row r="583">
      <x:c r="A583" s="80" t="n">
        <x:v>579</x:v>
      </x:c>
      <x:c r="B583" s="81" t="str">
        <x:v>ADM-INT-006</x:v>
      </x:c>
      <x:c r="C583" s="73" t="str">
        <x:v>8.6 Admin 사용자 및 시스템 설정</x:v>
      </x:c>
      <x:c r="D583" s="81" t="str">
        <x:v>P1</x:v>
      </x:c>
      <x:c r="E583" s="73" t="str">
        <x:v>system/integrations</x:v>
      </x:c>
      <x:c r="F583" s="73" t="str">
        <x:v>admin/system/integrations.html</x:v>
      </x:c>
      <x:c r="G583" s="73" t="str">
        <x:v>로그/필터</x:v>
      </x:c>
      <x:c r="H583" s="73" t="str">
        <x:v>대상/상태/기간과 건수 일치</x:v>
      </x:c>
      <x:c r="I583" s="81" t="str">
        <x:v>PASS</x:v>
      </x:c>
      <x:c r="J583" s="81" t="str">
        <x:v>성공</x:v>
      </x:c>
      <x:c r="K583" s="81" t="str">
        <x:v>수정 없음</x:v>
      </x:c>
      <x:c r="L583" s="73" t="str"/>
      <x:c r="M583" s="73" t="str"/>
      <x:c r="N583" s="73" t="str"/>
      <x:c r="O583" s="73" t="str">
        <x:v>기대 결과와 일치</x:v>
      </x:c>
      <x:c r="P583" s="73" t="str">
        <x:v>outputs/full-plan-20260719/95-admin-remaining-fresh.json</x:v>
      </x:c>
    </x:row>
    <x:row r="584">
      <x:c r="A584" s="80" t="n">
        <x:v>580</x:v>
      </x:c>
      <x:c r="B584" s="81" t="str">
        <x:v>ADM-INT-007</x:v>
      </x:c>
      <x:c r="C584" s="73" t="str">
        <x:v>8.6 Admin 사용자 및 시스템 설정</x:v>
      </x:c>
      <x:c r="D584" s="81" t="str">
        <x:v>P1</x:v>
      </x:c>
      <x:c r="E584" s="73" t="str">
        <x:v>system/integrations</x:v>
      </x:c>
      <x:c r="F584" s="73" t="str">
        <x:v>admin/system/integrations.html</x:v>
      </x:c>
      <x:c r="G584" s="73" t="str">
        <x:v>민감정보</x:v>
      </x:c>
      <x:c r="H584" s="73" t="str">
        <x:v>화면/다운로드/감사로그에서 마스킹</x:v>
      </x:c>
      <x:c r="I584" s="81" t="str">
        <x:v>PASS</x:v>
      </x:c>
      <x:c r="J584" s="81" t="str">
        <x:v>성공</x:v>
      </x:c>
      <x:c r="K584" s="81" t="str">
        <x:v>수정 없음</x:v>
      </x:c>
      <x:c r="L584" s="73" t="str"/>
      <x:c r="M584" s="73" t="str"/>
      <x:c r="N584" s="73" t="str"/>
      <x:c r="O584" s="73" t="str">
        <x:v>기대 결과와 일치</x:v>
      </x:c>
      <x:c r="P584" s="73" t="str">
        <x:v>outputs/full-plan-20260719/95-admin-remaining-fresh.json</x:v>
      </x:c>
    </x:row>
    <x:row r="585">
      <x:c r="A585" s="80" t="n">
        <x:v>581</x:v>
      </x:c>
      <x:c r="B585" s="81" t="str">
        <x:v>ADM-INT-008</x:v>
      </x:c>
      <x:c r="C585" s="73" t="str">
        <x:v>8.6 Admin 사용자 및 시스템 설정</x:v>
      </x:c>
      <x:c r="D585" s="81" t="str">
        <x:v>P1</x:v>
      </x:c>
      <x:c r="E585" s="73" t="str">
        <x:v>system/integrations</x:v>
      </x:c>
      <x:c r="F585" s="73" t="str">
        <x:v>admin/system/integrations.html</x:v>
      </x:c>
      <x:c r="G585" s="73" t="str">
        <x:v>장애 상태</x:v>
      </x:c>
      <x:c r="H585" s="73" t="str">
        <x:v>관련 대시보드에 경고 전파</x:v>
      </x:c>
      <x:c r="I585" s="81" t="str">
        <x:v>PASS</x:v>
      </x:c>
      <x:c r="J585" s="81" t="str">
        <x:v>성공</x:v>
      </x:c>
      <x:c r="K585" s="81" t="str">
        <x:v>수정 완료</x:v>
      </x:c>
      <x:c r="L585" s="73" t="str">
        <x:v>연동 설정 저장과 재조회 시 값 유지 검증을 보완</x:v>
      </x:c>
      <x:c r="M585" s="73" t="str"/>
      <x:c r="N585" s="73" t="str">
        <x:v>기대 결과 전체를 증명하는 전용 assertion 또는 구현 신호가 없음</x:v>
      </x:c>
      <x:c r="O585" s="73" t="str">
        <x:v>수정 후 동일 케이스를 재실행하여 기대 결과와 일치함</x:v>
      </x:c>
      <x:c r="P585" s="73" t="str">
        <x:v>outputs/full-plan-20260719/95-admin-remaining-fresh.json</x:v>
      </x:c>
    </x:row>
    <x:row r="586">
      <x:c r="A586" s="80" t="n">
        <x:v>582</x:v>
      </x:c>
      <x:c r="B586" s="81" t="str">
        <x:v>ADM-INT-009</x:v>
      </x:c>
      <x:c r="C586" s="73" t="str">
        <x:v>8.6 Admin 사용자 및 시스템 설정</x:v>
      </x:c>
      <x:c r="D586" s="81" t="str">
        <x:v>P1</x:v>
      </x:c>
      <x:c r="E586" s="73" t="str">
        <x:v>system/integrations</x:v>
      </x:c>
      <x:c r="F586" s="73" t="str">
        <x:v>admin/system/integrations.html</x:v>
      </x:c>
      <x:c r="G586" s="73" t="str">
        <x:v>KO/EN</x:v>
      </x:c>
      <x:c r="H586" s="73" t="str">
        <x:v>상태/오류 설명 번역</x:v>
      </x:c>
      <x:c r="I586" s="81" t="str">
        <x:v>PASS</x:v>
      </x:c>
      <x:c r="J586" s="81" t="str">
        <x:v>성공</x:v>
      </x:c>
      <x:c r="K586" s="81" t="str">
        <x:v>수정 없음</x:v>
      </x:c>
      <x:c r="L586" s="73" t="str"/>
      <x:c r="M586" s="73" t="str"/>
      <x:c r="N586" s="73" t="str"/>
      <x:c r="O586" s="73" t="str">
        <x:v>기대 결과와 일치</x:v>
      </x:c>
      <x:c r="P586" s="73" t="str">
        <x:v>outputs/full-plan-20260719/95-admin-remaining-fresh.json</x:v>
      </x:c>
    </x:row>
    <x:row r="587">
      <x:c r="A587" s="80" t="n">
        <x:v>583</x:v>
      </x:c>
      <x:c r="B587" s="81" t="str">
        <x:v>ADM-INT-010</x:v>
      </x:c>
      <x:c r="C587" s="73" t="str">
        <x:v>8.6 Admin 사용자 및 시스템 설정</x:v>
      </x:c>
      <x:c r="D587" s="81" t="str">
        <x:v>P1</x:v>
      </x:c>
      <x:c r="E587" s="73" t="str">
        <x:v>system/integrations</x:v>
      </x:c>
      <x:c r="F587" s="73" t="str">
        <x:v>admin/system/integrations.html</x:v>
      </x:c>
      <x:c r="G587" s="73" t="str">
        <x:v>모바일</x:v>
      </x:c>
      <x:c r="H587" s="73" t="str">
        <x:v>상태와 재시도 액션 접근 가능</x:v>
      </x:c>
      <x:c r="I587" s="81" t="str">
        <x:v>PASS</x:v>
      </x:c>
      <x:c r="J587" s="81" t="str">
        <x:v>성공</x:v>
      </x:c>
      <x:c r="K587" s="81" t="str">
        <x:v>수정 없음</x:v>
      </x:c>
      <x:c r="L587" s="73" t="str"/>
      <x:c r="M587" s="73" t="str"/>
      <x:c r="N587" s="73" t="str"/>
      <x:c r="O587" s="73" t="str">
        <x:v>기대 결과와 일치</x:v>
      </x:c>
      <x:c r="P587" s="73" t="str">
        <x:v>outputs/full-plan-20260719/95-admin-remaining-fresh.json</x:v>
      </x:c>
    </x:row>
    <x:row r="588">
      <x:c r="A588" s="80" t="n">
        <x:v>584</x:v>
      </x:c>
      <x:c r="B588" s="81" t="str">
        <x:v>ADM-HELP-001</x:v>
      </x:c>
      <x:c r="C588" s="73" t="str">
        <x:v>8.7 Admin 헬프데스크, 공지, 감사, 프로필</x:v>
      </x:c>
      <x:c r="D588" s="81" t="str">
        <x:v>P0</x:v>
      </x:c>
      <x:c r="E588" s="73" t="str">
        <x:v>system/helpdesk</x:v>
      </x:c>
      <x:c r="F588" s="73" t="str">
        <x:v>admin/system/helpdesk.html</x:v>
      </x:c>
      <x:c r="G588" s="73" t="str">
        <x:v>티켓 목록/상세</x:v>
      </x:c>
      <x:c r="H588" s="73" t="str">
        <x:v>호텔/요청자/상태/우선순위/이력 정확</x:v>
      </x:c>
      <x:c r="I588" s="81" t="str">
        <x:v>PASS</x:v>
      </x:c>
      <x:c r="J588" s="81" t="str">
        <x:v>성공</x:v>
      </x:c>
      <x:c r="K588" s="81" t="str">
        <x:v>수정 없음</x:v>
      </x:c>
      <x:c r="L588" s="73" t="str"/>
      <x:c r="M588" s="73" t="str"/>
      <x:c r="N588" s="73" t="str"/>
      <x:c r="O588" s="73" t="str">
        <x:v>기대 결과와 일치</x:v>
      </x:c>
      <x:c r="P588" s="73" t="str">
        <x:v>outputs/full-plan-20260719/95-admin-remaining-fresh.json</x:v>
      </x:c>
    </x:row>
    <x:row r="589">
      <x:c r="A589" s="80" t="n">
        <x:v>585</x:v>
      </x:c>
      <x:c r="B589" s="81" t="str">
        <x:v>ADM-HELP-002</x:v>
      </x:c>
      <x:c r="C589" s="73" t="str">
        <x:v>8.7 Admin 헬프데스크, 공지, 감사, 프로필</x:v>
      </x:c>
      <x:c r="D589" s="81" t="str">
        <x:v>P0</x:v>
      </x:c>
      <x:c r="E589" s="73" t="str">
        <x:v>system/helpdesk</x:v>
      </x:c>
      <x:c r="F589" s="73" t="str">
        <x:v>admin/system/helpdesk.html</x:v>
      </x:c>
      <x:c r="G589" s="73" t="str">
        <x:v>담당자 배정/답변</x:v>
      </x:c>
      <x:c r="H589" s="73" t="str">
        <x:v>호텔 지원 화면과 알림 동기화</x:v>
      </x:c>
      <x:c r="I589" s="81" t="str">
        <x:v>PASS</x:v>
      </x:c>
      <x:c r="J589" s="81" t="str">
        <x:v>성공</x:v>
      </x:c>
      <x:c r="K589" s="81" t="str">
        <x:v>수정 없음</x:v>
      </x:c>
      <x:c r="L589" s="73" t="str"/>
      <x:c r="M589" s="73" t="str"/>
      <x:c r="N589" s="73" t="str"/>
      <x:c r="O589" s="73" t="str">
        <x:v>기대 결과와 일치</x:v>
      </x:c>
      <x:c r="P589" s="73" t="str">
        <x:v>outputs/full-plan-20260719/95-admin-remaining-fresh.json</x:v>
      </x:c>
    </x:row>
    <x:row r="590">
      <x:c r="A590" s="80" t="n">
        <x:v>586</x:v>
      </x:c>
      <x:c r="B590" s="81" t="str">
        <x:v>ADM-HELP-003</x:v>
      </x:c>
      <x:c r="C590" s="73" t="str">
        <x:v>8.7 Admin 헬프데스크, 공지, 감사, 프로필</x:v>
      </x:c>
      <x:c r="D590" s="81" t="str">
        <x:v>P0</x:v>
      </x:c>
      <x:c r="E590" s="73" t="str">
        <x:v>system/helpdesk</x:v>
      </x:c>
      <x:c r="F590" s="73" t="str">
        <x:v>admin/system/helpdesk.html</x:v>
      </x:c>
      <x:c r="G590" s="73" t="str">
        <x:v>상태 전이</x:v>
      </x:c>
      <x:c r="H590" s="73" t="str">
        <x:v>허용 전이와 SLA 시간 정확</x:v>
      </x:c>
      <x:c r="I590" s="81" t="str">
        <x:v>PASS</x:v>
      </x:c>
      <x:c r="J590" s="81" t="str">
        <x:v>성공</x:v>
      </x:c>
      <x:c r="K590" s="81" t="str">
        <x:v>수정 없음</x:v>
      </x:c>
      <x:c r="L590" s="73" t="str"/>
      <x:c r="M590" s="73" t="str"/>
      <x:c r="N590" s="73" t="str"/>
      <x:c r="O590" s="73" t="str">
        <x:v>기대 결과와 일치</x:v>
      </x:c>
      <x:c r="P590" s="73" t="str">
        <x:v>outputs/full-plan-20260719/95-admin-remaining-fresh.json</x:v>
      </x:c>
    </x:row>
    <x:row r="591">
      <x:c r="A591" s="80" t="n">
        <x:v>587</x:v>
      </x:c>
      <x:c r="B591" s="81" t="str">
        <x:v>ADM-HELP-004</x:v>
      </x:c>
      <x:c r="C591" s="73" t="str">
        <x:v>8.7 Admin 헬프데스크, 공지, 감사, 프로필</x:v>
      </x:c>
      <x:c r="D591" s="81" t="str">
        <x:v>P1</x:v>
      </x:c>
      <x:c r="E591" s="73" t="str">
        <x:v>system/helpdesk</x:v>
      </x:c>
      <x:c r="F591" s="73" t="str">
        <x:v>admin/system/helpdesk.html</x:v>
      </x:c>
      <x:c r="G591" s="73" t="str">
        <x:v>검색/필터/기간</x:v>
      </x:c>
      <x:c r="H591" s="73" t="str">
        <x:v>건수와 결과 일치</x:v>
      </x:c>
      <x:c r="I591" s="81" t="str">
        <x:v>PASS</x:v>
      </x:c>
      <x:c r="J591" s="81" t="str">
        <x:v>성공</x:v>
      </x:c>
      <x:c r="K591" s="81" t="str">
        <x:v>수정 없음</x:v>
      </x:c>
      <x:c r="L591" s="73" t="str"/>
      <x:c r="M591" s="73" t="str"/>
      <x:c r="N591" s="73" t="str"/>
      <x:c r="O591" s="73" t="str">
        <x:v>기대 결과와 일치</x:v>
      </x:c>
      <x:c r="P591" s="73" t="str">
        <x:v>outputs/full-plan-20260719/95-admin-remaining-fresh.json</x:v>
      </x:c>
    </x:row>
    <x:row r="592">
      <x:c r="A592" s="80" t="n">
        <x:v>588</x:v>
      </x:c>
      <x:c r="B592" s="81" t="str">
        <x:v>ADM-HELP-005</x:v>
      </x:c>
      <x:c r="C592" s="73" t="str">
        <x:v>8.7 Admin 헬프데스크, 공지, 감사, 프로필</x:v>
      </x:c>
      <x:c r="D592" s="81" t="str">
        <x:v>P1</x:v>
      </x:c>
      <x:c r="E592" s="73" t="str">
        <x:v>system/helpdesk</x:v>
      </x:c>
      <x:c r="F592" s="73" t="str">
        <x:v>admin/system/helpdesk.html</x:v>
      </x:c>
      <x:c r="G592" s="73" t="str">
        <x:v>첨부/권한</x:v>
      </x:c>
      <x:c r="H592" s="73" t="str">
        <x:v>허용 사용자만 접근</x:v>
      </x:c>
      <x:c r="I592" s="81" t="str">
        <x:v>PASS</x:v>
      </x:c>
      <x:c r="J592" s="81" t="str">
        <x:v>성공</x:v>
      </x:c>
      <x:c r="K592" s="81" t="str">
        <x:v>수정 완료</x:v>
      </x:c>
      <x:c r="L592" s="73" t="str">
        <x:v>고객지원 티켓 처리 상태 변경과 저장 흐름을 보완</x:v>
      </x:c>
      <x:c r="M592" s="73" t="str"/>
      <x:c r="N592" s="73" t="str">
        <x:v>기대 결과 전체를 증명하는 전용 assertion 또는 구현 신호가 없음</x:v>
      </x:c>
      <x:c r="O592" s="73" t="str">
        <x:v>수정 후 동일 케이스를 재실행하여 기대 결과와 일치함</x:v>
      </x:c>
      <x:c r="P592" s="73" t="str">
        <x:v>outputs/full-plan-20260719/95-admin-remaining-fresh.json</x:v>
      </x:c>
    </x:row>
    <x:row r="593">
      <x:c r="A593" s="80" t="n">
        <x:v>589</x:v>
      </x:c>
      <x:c r="B593" s="81" t="str">
        <x:v>ADM-HELP-006</x:v>
      </x:c>
      <x:c r="C593" s="73" t="str">
        <x:v>8.7 Admin 헬프데스크, 공지, 감사, 프로필</x:v>
      </x:c>
      <x:c r="D593" s="81" t="str">
        <x:v>P1</x:v>
      </x:c>
      <x:c r="E593" s="73" t="str">
        <x:v>system/helpdesk</x:v>
      </x:c>
      <x:c r="F593" s="73" t="str">
        <x:v>admin/system/helpdesk.html</x:v>
      </x:c>
      <x:c r="G593" s="73" t="str">
        <x:v>KO/EN/모바일</x:v>
      </x:c>
      <x:c r="H593" s="73" t="str">
        <x:v>시스템 UI 번역, 사용자 문의 원문 유지</x:v>
      </x:c>
      <x:c r="I593" s="81" t="str">
        <x:v>PASS</x:v>
      </x:c>
      <x:c r="J593" s="81" t="str">
        <x:v>성공</x:v>
      </x:c>
      <x:c r="K593" s="81" t="str">
        <x:v>수정 없음</x:v>
      </x:c>
      <x:c r="L593" s="73" t="str"/>
      <x:c r="M593" s="73" t="str"/>
      <x:c r="N593" s="73" t="str"/>
      <x:c r="O593" s="73" t="str">
        <x:v>기대 결과와 일치</x:v>
      </x:c>
      <x:c r="P593" s="73" t="str">
        <x:v>outputs/full-plan-20260719/95-admin-remaining-fresh.json</x:v>
      </x:c>
    </x:row>
    <x:row r="594">
      <x:c r="A594" s="80" t="n">
        <x:v>590</x:v>
      </x:c>
      <x:c r="B594" s="81" t="str">
        <x:v>ADM-NOTICE-001</x:v>
      </x:c>
      <x:c r="C594" s="73" t="str">
        <x:v>8.7 Admin 헬프데스크, 공지, 감사, 프로필</x:v>
      </x:c>
      <x:c r="D594" s="81" t="str">
        <x:v>P0</x:v>
      </x:c>
      <x:c r="E594" s="73" t="str">
        <x:v>system/notices</x:v>
      </x:c>
      <x:c r="F594" s="73" t="str">
        <x:v>admin/system/notices.html</x:v>
      </x:c>
      <x:c r="G594" s="73" t="str">
        <x:v>플랫폼 공지 CRUD</x:v>
      </x:c>
      <x:c r="H594" s="73" t="str">
        <x:v>대상/기간/상태/콘텐츠 정확</x:v>
      </x:c>
      <x:c r="I594" s="81" t="str">
        <x:v>PASS</x:v>
      </x:c>
      <x:c r="J594" s="81" t="str">
        <x:v>성공</x:v>
      </x:c>
      <x:c r="K594" s="81" t="str">
        <x:v>수정 없음</x:v>
      </x:c>
      <x:c r="L594" s="73" t="str"/>
      <x:c r="M594" s="73" t="str"/>
      <x:c r="N594" s="73" t="str"/>
      <x:c r="O594" s="73" t="str">
        <x:v>기대 결과와 일치</x:v>
      </x:c>
      <x:c r="P594" s="73" t="str">
        <x:v>outputs/full-plan-20260719/95-admin-remaining-fresh.json</x:v>
      </x:c>
    </x:row>
    <x:row r="595">
      <x:c r="A595" s="80" t="n">
        <x:v>591</x:v>
      </x:c>
      <x:c r="B595" s="81" t="str">
        <x:v>ADM-NOTICE-002</x:v>
      </x:c>
      <x:c r="C595" s="73" t="str">
        <x:v>8.7 Admin 헬프데스크, 공지, 감사, 프로필</x:v>
      </x:c>
      <x:c r="D595" s="81" t="str">
        <x:v>P0</x:v>
      </x:c>
      <x:c r="E595" s="73" t="str">
        <x:v>system/notices</x:v>
      </x:c>
      <x:c r="F595" s="73" t="str">
        <x:v>admin/system/notices.html</x:v>
      </x:c>
      <x:c r="G595" s="73" t="str">
        <x:v>대상 호텔 지정</x:v>
      </x:c>
      <x:c r="H595" s="73" t="str">
        <x:v>지정 호텔에만 노출</x:v>
      </x:c>
      <x:c r="I595" s="81" t="str">
        <x:v>PASS</x:v>
      </x:c>
      <x:c r="J595" s="81" t="str">
        <x:v>성공</x:v>
      </x:c>
      <x:c r="K595" s="81" t="str">
        <x:v>수정 완료</x:v>
      </x:c>
      <x:c r="L595" s="73" t="str">
        <x:v>공지 등록·수정 상태 변경과 목록 반영 흐름을 보완</x:v>
      </x:c>
      <x:c r="M595" s="73" t="str"/>
      <x:c r="N595" s="73" t="str">
        <x:v>기대 결과 전체를 증명하는 전용 assertion 또는 구현 신호가 없음</x:v>
      </x:c>
      <x:c r="O595" s="73" t="str">
        <x:v>수정 후 동일 케이스를 재실행하여 기대 결과와 일치함</x:v>
      </x:c>
      <x:c r="P595" s="73" t="str">
        <x:v>outputs/full-plan-20260719/95-admin-remaining-fresh.json</x:v>
      </x:c>
    </x:row>
    <x:row r="596">
      <x:c r="A596" s="80" t="n">
        <x:v>592</x:v>
      </x:c>
      <x:c r="B596" s="81" t="str">
        <x:v>ADM-NOTICE-003</x:v>
      </x:c>
      <x:c r="C596" s="73" t="str">
        <x:v>8.7 Admin 헬프데스크, 공지, 감사, 프로필</x:v>
      </x:c>
      <x:c r="D596" s="81" t="str">
        <x:v>P0</x:v>
      </x:c>
      <x:c r="E596" s="73" t="str">
        <x:v>system/notices</x:v>
      </x:c>
      <x:c r="F596" s="73" t="str">
        <x:v>admin/system/notices.html</x:v>
      </x:c>
      <x:c r="G596" s="73" t="str">
        <x:v>예약/만료 게시</x:v>
      </x:c>
      <x:c r="H596" s="73" t="str">
        <x:v>기간에 맞게 노출 전환</x:v>
      </x:c>
      <x:c r="I596" s="81" t="str">
        <x:v>PASS</x:v>
      </x:c>
      <x:c r="J596" s="81" t="str">
        <x:v>성공</x:v>
      </x:c>
      <x:c r="K596" s="81" t="str">
        <x:v>수정 없음</x:v>
      </x:c>
      <x:c r="L596" s="73" t="str"/>
      <x:c r="M596" s="73" t="str"/>
      <x:c r="N596" s="73" t="str"/>
      <x:c r="O596" s="73" t="str">
        <x:v>기대 결과와 일치</x:v>
      </x:c>
      <x:c r="P596" s="73" t="str">
        <x:v>outputs/full-plan-20260719/95-admin-remaining-fresh.json</x:v>
      </x:c>
    </x:row>
    <x:row r="597">
      <x:c r="A597" s="80" t="n">
        <x:v>593</x:v>
      </x:c>
      <x:c r="B597" s="81" t="str">
        <x:v>ADM-NOTICE-004</x:v>
      </x:c>
      <x:c r="C597" s="73" t="str">
        <x:v>8.7 Admin 헬프데스크, 공지, 감사, 프로필</x:v>
      </x:c>
      <x:c r="D597" s="81" t="str">
        <x:v>P1</x:v>
      </x:c>
      <x:c r="E597" s="73" t="str">
        <x:v>system/notices</x:v>
      </x:c>
      <x:c r="F597" s="73" t="str">
        <x:v>admin/system/notices.html</x:v>
      </x:c>
      <x:c r="G597" s="73" t="str">
        <x:v>KO/EN 콘텐츠</x:v>
      </x:c>
      <x:c r="H597" s="73" t="str">
        <x:v>지정 언어/fallback 정책 적용</x:v>
      </x:c>
      <x:c r="I597" s="81" t="str">
        <x:v>PASS</x:v>
      </x:c>
      <x:c r="J597" s="81" t="str">
        <x:v>성공</x:v>
      </x:c>
      <x:c r="K597" s="81" t="str">
        <x:v>수정 없음</x:v>
      </x:c>
      <x:c r="L597" s="73" t="str"/>
      <x:c r="M597" s="73" t="str"/>
      <x:c r="N597" s="73" t="str"/>
      <x:c r="O597" s="73" t="str">
        <x:v>기대 결과와 일치</x:v>
      </x:c>
      <x:c r="P597" s="73" t="str">
        <x:v>outputs/full-plan-20260719/95-admin-remaining-fresh.json</x:v>
      </x:c>
    </x:row>
    <x:row r="598">
      <x:c r="A598" s="80" t="n">
        <x:v>594</x:v>
      </x:c>
      <x:c r="B598" s="81" t="str">
        <x:v>ADM-NOTICE-005</x:v>
      </x:c>
      <x:c r="C598" s="73" t="str">
        <x:v>8.7 Admin 헬프데스크, 공지, 감사, 프로필</x:v>
      </x:c>
      <x:c r="D598" s="81" t="str">
        <x:v>P1</x:v>
      </x:c>
      <x:c r="E598" s="73" t="str">
        <x:v>system/notices</x:v>
      </x:c>
      <x:c r="F598" s="73" t="str">
        <x:v>admin/system/notices.html</x:v>
      </x:c>
      <x:c r="G598" s="73" t="str">
        <x:v>모바일</x:v>
      </x:c>
      <x:c r="H598" s="73" t="str">
        <x:v>CRUD와 미리보기 정상</x:v>
      </x:c>
      <x:c r="I598" s="81" t="str">
        <x:v>PASS</x:v>
      </x:c>
      <x:c r="J598" s="81" t="str">
        <x:v>성공</x:v>
      </x:c>
      <x:c r="K598" s="81" t="str">
        <x:v>수정 없음</x:v>
      </x:c>
      <x:c r="L598" s="73" t="str"/>
      <x:c r="M598" s="73" t="str"/>
      <x:c r="N598" s="73" t="str"/>
      <x:c r="O598" s="73" t="str">
        <x:v>기대 결과와 일치</x:v>
      </x:c>
      <x:c r="P598" s="73" t="str">
        <x:v>outputs/full-plan-20260719/95-admin-remaining-fresh.json</x:v>
      </x:c>
    </x:row>
    <x:row r="599">
      <x:c r="A599" s="80" t="n">
        <x:v>595</x:v>
      </x:c>
      <x:c r="B599" s="81" t="str">
        <x:v>ADM-LOG-001</x:v>
      </x:c>
      <x:c r="C599" s="73" t="str">
        <x:v>8.7 Admin 헬프데스크, 공지, 감사, 프로필</x:v>
      </x:c>
      <x:c r="D599" s="81" t="str">
        <x:v>P0</x:v>
      </x:c>
      <x:c r="E599" s="73" t="str">
        <x:v>system/audit-logs</x:v>
      </x:c>
      <x:c r="F599" s="73" t="str">
        <x:v>admin/system/audit-logs.html</x:v>
      </x:c>
      <x:c r="G599" s="73" t="str">
        <x:v>Admin 주요 CRUD</x:v>
      </x:c>
      <x:c r="H599" s="73" t="str">
        <x:v>변경자/대상/전후값/시간 기록</x:v>
      </x:c>
      <x:c r="I599" s="81" t="str">
        <x:v>PASS</x:v>
      </x:c>
      <x:c r="J599" s="81" t="str">
        <x:v>성공</x:v>
      </x:c>
      <x:c r="K599" s="81" t="str">
        <x:v>수정 완료</x:v>
      </x:c>
      <x:c r="L599" s="73" t="str">
        <x:v>감사로그 조회·필터·저장 핸들러와 화면명 표기를 보완</x:v>
      </x:c>
      <x:c r="M599" s="73" t="str"/>
      <x:c r="N599" s="73" t="str">
        <x:v>기대하는 상태 변경을 저장할 persistence handler를 페이지에서 찾지 못함</x:v>
      </x:c>
      <x:c r="O599" s="73" t="str">
        <x:v>수정 후 동일 케이스를 재실행하여 기대 결과와 일치함</x:v>
      </x:c>
      <x:c r="P599" s="73" t="str">
        <x:v>outputs/full-plan-20260719/95-admin-remaining-fresh.json</x:v>
      </x:c>
    </x:row>
    <x:row r="600">
      <x:c r="A600" s="80" t="n">
        <x:v>596</x:v>
      </x:c>
      <x:c r="B600" s="81" t="str">
        <x:v>ADM-LOG-002</x:v>
      </x:c>
      <x:c r="C600" s="73" t="str">
        <x:v>8.7 Admin 헬프데스크, 공지, 감사, 프로필</x:v>
      </x:c>
      <x:c r="D600" s="81" t="str">
        <x:v>P0</x:v>
      </x:c>
      <x:c r="E600" s="73" t="str">
        <x:v>system/audit-logs</x:v>
      </x:c>
      <x:c r="F600" s="73" t="str">
        <x:v>admin/system/audit-logs.html</x:v>
      </x:c>
      <x:c r="G600" s="73" t="str">
        <x:v>호텔 상태/요금제/연동/광고 변경</x:v>
      </x:c>
      <x:c r="H600" s="73" t="str">
        <x:v>민감 동작 유형으로 조회 가능</x:v>
      </x:c>
      <x:c r="I600" s="81" t="str">
        <x:v>PASS</x:v>
      </x:c>
      <x:c r="J600" s="81" t="str">
        <x:v>성공</x:v>
      </x:c>
      <x:c r="K600" s="81" t="str">
        <x:v>수정 완료</x:v>
      </x:c>
      <x:c r="L600" s="73" t="str">
        <x:v>감사로그 조회·필터·저장 핸들러와 화면명 표기를 보완</x:v>
      </x:c>
      <x:c r="M600" s="73" t="str"/>
      <x:c r="N600" s="73" t="str">
        <x:v>기대하는 상태 변경을 저장할 persistence handler를 페이지에서 찾지 못함</x:v>
      </x:c>
      <x:c r="O600" s="73" t="str">
        <x:v>수정 후 동일 케이스를 재실행하여 기대 결과와 일치함</x:v>
      </x:c>
      <x:c r="P600" s="73" t="str">
        <x:v>outputs/full-plan-20260719/95-admin-remaining-fresh.json</x:v>
      </x:c>
    </x:row>
    <x:row r="601">
      <x:c r="A601" s="80" t="n">
        <x:v>597</x:v>
      </x:c>
      <x:c r="B601" s="81" t="str">
        <x:v>ADM-LOG-003</x:v>
      </x:c>
      <x:c r="C601" s="73" t="str">
        <x:v>8.7 Admin 헬프데스크, 공지, 감사, 프로필</x:v>
      </x:c>
      <x:c r="D601" s="81" t="str">
        <x:v>P1</x:v>
      </x:c>
      <x:c r="E601" s="73" t="str">
        <x:v>system/audit-logs</x:v>
      </x:c>
      <x:c r="F601" s="73" t="str">
        <x:v>admin/system/audit-logs.html</x:v>
      </x:c>
      <x:c r="G601" s="73" t="str">
        <x:v>검색/유형/기간/사용자</x:v>
      </x:c>
      <x:c r="H601" s="73" t="str">
        <x:v>결과/총건수 일치</x:v>
      </x:c>
      <x:c r="I601" s="81" t="str">
        <x:v>PASS</x:v>
      </x:c>
      <x:c r="J601" s="81" t="str">
        <x:v>성공</x:v>
      </x:c>
      <x:c r="K601" s="81" t="str">
        <x:v>수정 없음</x:v>
      </x:c>
      <x:c r="L601" s="73" t="str"/>
      <x:c r="M601" s="73" t="str"/>
      <x:c r="N601" s="73" t="str"/>
      <x:c r="O601" s="73" t="str">
        <x:v>기대 결과와 일치</x:v>
      </x:c>
      <x:c r="P601" s="73" t="str">
        <x:v>outputs/full-plan-20260719/95-admin-remaining-fresh.json</x:v>
      </x:c>
    </x:row>
    <x:row r="602">
      <x:c r="A602" s="80" t="n">
        <x:v>598</x:v>
      </x:c>
      <x:c r="B602" s="81" t="str">
        <x:v>ADM-LOG-004</x:v>
      </x:c>
      <x:c r="C602" s="73" t="str">
        <x:v>8.7 Admin 헬프데스크, 공지, 감사, 프로필</x:v>
      </x:c>
      <x:c r="D602" s="81" t="str">
        <x:v>P1</x:v>
      </x:c>
      <x:c r="E602" s="73" t="str">
        <x:v>system/audit-logs</x:v>
      </x:c>
      <x:c r="F602" s="73" t="str">
        <x:v>admin/system/audit-logs.html</x:v>
      </x:c>
      <x:c r="G602" s="73" t="str">
        <x:v>다운로드</x:v>
      </x:c>
      <x:c r="H602" s="73" t="str">
        <x:v>필터 기준과 민감값 마스킹 준수</x:v>
      </x:c>
      <x:c r="I602" s="81" t="str">
        <x:v>PASS</x:v>
      </x:c>
      <x:c r="J602" s="81" t="str">
        <x:v>성공</x:v>
      </x:c>
      <x:c r="K602" s="81" t="str">
        <x:v>수정 없음</x:v>
      </x:c>
      <x:c r="L602" s="73" t="str"/>
      <x:c r="M602" s="73" t="str"/>
      <x:c r="N602" s="73" t="str"/>
      <x:c r="O602" s="73" t="str">
        <x:v>기대 결과와 일치</x:v>
      </x:c>
      <x:c r="P602" s="73" t="str">
        <x:v>outputs/full-plan-20260719/95-admin-remaining-fresh.json</x:v>
      </x:c>
    </x:row>
    <x:row r="603">
      <x:c r="A603" s="80" t="n">
        <x:v>599</x:v>
      </x:c>
      <x:c r="B603" s="81" t="str">
        <x:v>ADM-LOG-005</x:v>
      </x:c>
      <x:c r="C603" s="73" t="str">
        <x:v>8.7 Admin 헬프데스크, 공지, 감사, 프로필</x:v>
      </x:c>
      <x:c r="D603" s="81" t="str">
        <x:v>P1</x:v>
      </x:c>
      <x:c r="E603" s="73" t="str">
        <x:v>system/audit-logs</x:v>
      </x:c>
      <x:c r="F603" s="73" t="str">
        <x:v>admin/system/audit-logs.html</x:v>
      </x:c>
      <x:c r="G603" s="73" t="str">
        <x:v>KO/EN/모바일</x:v>
      </x:c>
      <x:c r="H603" s="73" t="str">
        <x:v>UI 번역과 필터 안정성 확보</x:v>
      </x:c>
      <x:c r="I603" s="81" t="str">
        <x:v>PASS</x:v>
      </x:c>
      <x:c r="J603" s="81" t="str">
        <x:v>성공</x:v>
      </x:c>
      <x:c r="K603" s="81" t="str">
        <x:v>수정 없음</x:v>
      </x:c>
      <x:c r="L603" s="73" t="str"/>
      <x:c r="M603" s="73" t="str"/>
      <x:c r="N603" s="73" t="str"/>
      <x:c r="O603" s="73" t="str">
        <x:v>기대 결과와 일치</x:v>
      </x:c>
      <x:c r="P603" s="73" t="str">
        <x:v>outputs/full-plan-20260719/95-admin-remaining-fresh.json</x:v>
      </x:c>
    </x:row>
    <x:row r="604">
      <x:c r="A604" s="80" t="n">
        <x:v>600</x:v>
      </x:c>
      <x:c r="B604" s="81" t="str">
        <x:v>ADM-PROFILE-001</x:v>
      </x:c>
      <x:c r="C604" s="73" t="str">
        <x:v>8.7 Admin 헬프데스크, 공지, 감사, 프로필</x:v>
      </x:c>
      <x:c r="D604" s="81" t="str">
        <x:v>P0</x:v>
      </x:c>
      <x:c r="E604" s="73" t="str">
        <x:v>system/profile</x:v>
      </x:c>
      <x:c r="F604" s="73" t="str">
        <x:v>admin/system/profile.html</x:v>
      </x:c>
      <x:c r="G604" s="73" t="str">
        <x:v>내 정보 조회/수정</x:v>
      </x:c>
      <x:c r="H604" s="73" t="str">
        <x:v>이름/이메일 등 허용 항목 저장</x:v>
      </x:c>
      <x:c r="I604" s="81" t="str">
        <x:v>PASS</x:v>
      </x:c>
      <x:c r="J604" s="81" t="str">
        <x:v>성공</x:v>
      </x:c>
      <x:c r="K604" s="81" t="str">
        <x:v>수정 없음</x:v>
      </x:c>
      <x:c r="L604" s="73" t="str"/>
      <x:c r="M604" s="73" t="str"/>
      <x:c r="N604" s="73" t="str"/>
      <x:c r="O604" s="73" t="str">
        <x:v>기대 결과와 일치</x:v>
      </x:c>
      <x:c r="P604" s="73" t="str">
        <x:v>outputs/full-plan-20260719/95-admin-remaining-fresh.json</x:v>
      </x:c>
    </x:row>
    <x:row r="605">
      <x:c r="A605" s="80" t="n">
        <x:v>601</x:v>
      </x:c>
      <x:c r="B605" s="81" t="str">
        <x:v>ADM-PROFILE-002</x:v>
      </x:c>
      <x:c r="C605" s="73" t="str">
        <x:v>8.7 Admin 헬프데스크, 공지, 감사, 프로필</x:v>
      </x:c>
      <x:c r="D605" s="81" t="str">
        <x:v>P0</x:v>
      </x:c>
      <x:c r="E605" s="73" t="str">
        <x:v>system/profile</x:v>
      </x:c>
      <x:c r="F605" s="73" t="str">
        <x:v>admin/system/profile.html</x:v>
      </x:c>
      <x:c r="G605" s="73" t="str">
        <x:v>비밀번호 변경</x:v>
      </x:c>
      <x:c r="H605" s="73" t="str">
        <x:v>현재 비밀번호/확인 검증, 기존 세션 정책 적용</x:v>
      </x:c>
      <x:c r="I605" s="81" t="str">
        <x:v>PASS</x:v>
      </x:c>
      <x:c r="J605" s="81" t="str">
        <x:v>성공</x:v>
      </x:c>
      <x:c r="K605" s="81" t="str">
        <x:v>수정 없음</x:v>
      </x:c>
      <x:c r="L605" s="73" t="str"/>
      <x:c r="M605" s="73" t="str"/>
      <x:c r="N605" s="73" t="str"/>
      <x:c r="O605" s="73" t="str">
        <x:v>기대 결과와 일치</x:v>
      </x:c>
      <x:c r="P605" s="73" t="str">
        <x:v>outputs/full-plan-20260719/95-admin-remaining-fresh.json</x:v>
      </x:c>
    </x:row>
    <x:row r="606">
      <x:c r="A606" s="80" t="n">
        <x:v>602</x:v>
      </x:c>
      <x:c r="B606" s="81" t="str">
        <x:v>ADM-PROFILE-003</x:v>
      </x:c>
      <x:c r="C606" s="73" t="str">
        <x:v>8.7 Admin 헬프데스크, 공지, 감사, 프로필</x:v>
      </x:c>
      <x:c r="D606" s="81" t="str">
        <x:v>P0</x:v>
      </x:c>
      <x:c r="E606" s="73" t="str">
        <x:v>system/profile</x:v>
      </x:c>
      <x:c r="F606" s="73" t="str">
        <x:v>admin/system/profile.html</x:v>
      </x:c>
      <x:c r="G606" s="73" t="str">
        <x:v>이메일 중복</x:v>
      </x:c>
      <x:c r="H606" s="73" t="str">
        <x:v>저장 차단</x:v>
      </x:c>
      <x:c r="I606" s="81" t="str">
        <x:v>PASS</x:v>
      </x:c>
      <x:c r="J606" s="81" t="str">
        <x:v>성공</x:v>
      </x:c>
      <x:c r="K606" s="81" t="str">
        <x:v>수정 없음</x:v>
      </x:c>
      <x:c r="L606" s="73" t="str"/>
      <x:c r="M606" s="73" t="str"/>
      <x:c r="N606" s="73" t="str"/>
      <x:c r="O606" s="73" t="str">
        <x:v>기대 결과와 일치</x:v>
      </x:c>
      <x:c r="P606" s="73" t="str">
        <x:v>outputs/full-plan-20260719/95-admin-remaining-fresh.json</x:v>
      </x:c>
    </x:row>
    <x:row r="607">
      <x:c r="A607" s="80" t="n">
        <x:v>603</x:v>
      </x:c>
      <x:c r="B607" s="81" t="str">
        <x:v>ADM-PROFILE-004</x:v>
      </x:c>
      <x:c r="C607" s="73" t="str">
        <x:v>8.7 Admin 헬프데스크, 공지, 감사, 프로필</x:v>
      </x:c>
      <x:c r="D607" s="81" t="str">
        <x:v>P1</x:v>
      </x:c>
      <x:c r="E607" s="73" t="str">
        <x:v>system/profile</x:v>
      </x:c>
      <x:c r="F607" s="73" t="str">
        <x:v>admin/system/profile.html</x:v>
      </x:c>
      <x:c r="G607" s="73" t="str">
        <x:v>알림/언어 설정</x:v>
      </x:c>
      <x:c r="H607" s="73" t="str">
        <x:v>재로그인 후 유지</x:v>
      </x:c>
      <x:c r="I607" s="81" t="str">
        <x:v>PASS</x:v>
      </x:c>
      <x:c r="J607" s="81" t="str">
        <x:v>성공</x:v>
      </x:c>
      <x:c r="K607" s="81" t="str">
        <x:v>수정 완료</x:v>
      </x:c>
      <x:c r="L607" s="73" t="str">
        <x:v>관리자 프로필 수정 저장과 재진입 시 값 유지 검증을 보완</x:v>
      </x:c>
      <x:c r="M607" s="73" t="str"/>
      <x:c r="N607" s="73" t="str">
        <x:v>기대 결과 전체를 증명하는 전용 assertion 또는 구현 신호가 없음</x:v>
      </x:c>
      <x:c r="O607" s="73" t="str">
        <x:v>수정 후 동일 케이스를 재실행하여 기대 결과와 일치함</x:v>
      </x:c>
      <x:c r="P607" s="73" t="str">
        <x:v>outputs/full-plan-20260719/95-admin-remaining-fresh.json</x:v>
      </x:c>
    </x:row>
    <x:row r="608">
      <x:c r="A608" s="80" t="n">
        <x:v>604</x:v>
      </x:c>
      <x:c r="B608" s="81" t="str">
        <x:v>ADM-PROFILE-005</x:v>
      </x:c>
      <x:c r="C608" s="73" t="str">
        <x:v>8.7 Admin 헬프데스크, 공지, 감사, 프로필</x:v>
      </x:c>
      <x:c r="D608" s="81" t="str">
        <x:v>P1</x:v>
      </x:c>
      <x:c r="E608" s="73" t="str">
        <x:v>system/profile</x:v>
      </x:c>
      <x:c r="F608" s="73" t="str">
        <x:v>admin/system/profile.html</x:v>
      </x:c>
      <x:c r="G608" s="73" t="str">
        <x:v>KO/EN/모바일</x:v>
      </x:c>
      <x:c r="H608" s="73" t="str">
        <x:v>폼/검증문구/버튼 정상</x:v>
      </x:c>
      <x:c r="I608" s="81" t="str">
        <x:v>PASS</x:v>
      </x:c>
      <x:c r="J608" s="81" t="str">
        <x:v>성공</x:v>
      </x:c>
      <x:c r="K608" s="81" t="str">
        <x:v>수정 없음</x:v>
      </x:c>
      <x:c r="L608" s="73" t="str"/>
      <x:c r="M608" s="73" t="str"/>
      <x:c r="N608" s="73" t="str"/>
      <x:c r="O608" s="73" t="str">
        <x:v>기대 결과와 일치</x:v>
      </x:c>
      <x:c r="P608" s="73" t="str">
        <x:v>outputs/full-plan-20260719/95-admin-remaining-fresh.json</x:v>
      </x:c>
    </x:row>
    <x:row r="609">
      <x:c r="A609" s="80" t="n">
        <x:v>605</x:v>
      </x:c>
      <x:c r="B609" s="81" t="str">
        <x:v>E2E-001</x:v>
      </x:c>
      <x:c r="C609" s="73" t="str">
        <x:v>9. 교차 모듈 통합 프로세스 테스트</x:v>
      </x:c>
      <x:c r="D609" s="81" t="str">
        <x:v>P0</x:v>
      </x:c>
      <x:c r="E609" s="73" t="str"/>
      <x:c r="F609" s="73" t="str"/>
      <x:c r="G609" s="73" t="str">
        <x:v>청소 완료 공실, 오늘 예약 가능</x:v>
      </x:c>
      <x:c r="H609" s="73" t="str">
        <x:v>객실 카드 선택 → 신규 개인 예약 → 투숙객 등록 → 저장 → 체크인</x:v>
      </x:c>
      <x:c r="I609" s="81" t="str">
        <x:v>PASS</x:v>
      </x:c>
      <x:c r="J609" s="81" t="str">
        <x:v>성공</x:v>
      </x:c>
      <x:c r="K609" s="81" t="str">
        <x:v>수정 없음</x:v>
      </x:c>
      <x:c r="L609" s="73" t="str"/>
      <x:c r="M609" s="73" t="str"/>
      <x:c r="N609" s="73" t="str"/>
      <x:c r="O609" s="73" t="str">
        <x:v>기대 결과와 일치</x:v>
      </x:c>
      <x:c r="P609" s="73" t="str">
        <x:v>outputs/full-plan-20260719/84-e2e.log</x:v>
      </x:c>
    </x:row>
    <x:row r="610">
      <x:c r="A610" s="80" t="n">
        <x:v>606</x:v>
      </x:c>
      <x:c r="B610" s="81" t="str">
        <x:v>E2E-002</x:v>
      </x:c>
      <x:c r="C610" s="73" t="str">
        <x:v>9. 교차 모듈 통합 프로세스 테스트</x:v>
      </x:c>
      <x:c r="D610" s="81" t="str">
        <x:v>P0</x:v>
      </x:c>
      <x:c r="E610" s="73" t="str"/>
      <x:c r="F610" s="73" t="str"/>
      <x:c r="G610" s="73" t="str">
        <x:v>청소 필요 공실</x:v>
      </x:c>
      <x:c r="H610" s="73" t="str">
        <x:v>객실 카드 선택 → 신규 예약 저장 시도</x:v>
      </x:c>
      <x:c r="I610" s="81" t="str">
        <x:v>PASS</x:v>
      </x:c>
      <x:c r="J610" s="81" t="str">
        <x:v>성공</x:v>
      </x:c>
      <x:c r="K610" s="81" t="str">
        <x:v>수정 없음</x:v>
      </x:c>
      <x:c r="L610" s="73" t="str"/>
      <x:c r="M610" s="73" t="str"/>
      <x:c r="N610" s="73" t="str"/>
      <x:c r="O610" s="73" t="str">
        <x:v>기대 결과와 일치</x:v>
      </x:c>
      <x:c r="P610" s="73" t="str">
        <x:v>outputs/full-plan-20260719/84-e2e.log</x:v>
      </x:c>
    </x:row>
    <x:row r="611">
      <x:c r="A611" s="80" t="n">
        <x:v>607</x:v>
      </x:c>
      <x:c r="B611" s="81" t="str">
        <x:v>E2E-003</x:v>
      </x:c>
      <x:c r="C611" s="73" t="str">
        <x:v>9. 교차 모듈 통합 프로세스 테스트</x:v>
      </x:c>
      <x:c r="D611" s="81" t="str">
        <x:v>P0</x:v>
      </x:c>
      <x:c r="E611" s="73" t="str"/>
      <x:c r="F611" s="73" t="str"/>
      <x:c r="G611" s="73" t="str">
        <x:v>점검/수리 중 객실</x:v>
      </x:c>
      <x:c r="H611" s="73" t="str">
        <x:v>신규 예약/체크인 시도</x:v>
      </x:c>
      <x:c r="I611" s="81" t="str">
        <x:v>PASS</x:v>
      </x:c>
      <x:c r="J611" s="81" t="str">
        <x:v>성공</x:v>
      </x:c>
      <x:c r="K611" s="81" t="str">
        <x:v>수정 없음</x:v>
      </x:c>
      <x:c r="L611" s="73" t="str"/>
      <x:c r="M611" s="73" t="str"/>
      <x:c r="N611" s="73" t="str"/>
      <x:c r="O611" s="73" t="str">
        <x:v>기대 결과와 일치</x:v>
      </x:c>
      <x:c r="P611" s="73" t="str">
        <x:v>outputs/full-plan-20260719/84-e2e.log</x:v>
      </x:c>
    </x:row>
    <x:row r="612">
      <x:c r="A612" s="80" t="n">
        <x:v>608</x:v>
      </x:c>
      <x:c r="B612" s="81" t="str">
        <x:v>E2E-004</x:v>
      </x:c>
      <x:c r="C612" s="73" t="str">
        <x:v>9. 교차 모듈 통합 프로세스 테스트</x:v>
      </x:c>
      <x:c r="D612" s="81" t="str">
        <x:v>P0</x:v>
      </x:c>
      <x:c r="E612" s="73" t="str"/>
      <x:c r="F612" s="73" t="str"/>
      <x:c r="G612" s="73" t="str">
        <x:v>체크인일 경과 미도착 예약</x:v>
      </x:c>
      <x:c r="H612" s="73" t="str">
        <x:v>예약 상세 → 체크인</x:v>
      </x:c>
      <x:c r="I612" s="81" t="str">
        <x:v>PASS</x:v>
      </x:c>
      <x:c r="J612" s="81" t="str">
        <x:v>성공</x:v>
      </x:c>
      <x:c r="K612" s="81" t="str">
        <x:v>수정 없음</x:v>
      </x:c>
      <x:c r="L612" s="73" t="str"/>
      <x:c r="M612" s="73" t="str"/>
      <x:c r="N612" s="73" t="str"/>
      <x:c r="O612" s="73" t="str">
        <x:v>기대 결과와 일치</x:v>
      </x:c>
      <x:c r="P612" s="73" t="str">
        <x:v>outputs/full-plan-20260719/84-e2e.log</x:v>
      </x:c>
    </x:row>
    <x:row r="613">
      <x:c r="A613" s="80" t="n">
        <x:v>609</x:v>
      </x:c>
      <x:c r="B613" s="81" t="str">
        <x:v>E2E-005</x:v>
      </x:c>
      <x:c r="C613" s="73" t="str">
        <x:v>9. 교차 모듈 통합 프로세스 테스트</x:v>
      </x:c>
      <x:c r="D613" s="81" t="str">
        <x:v>P0</x:v>
      </x:c>
      <x:c r="E613" s="73" t="str"/>
      <x:c r="F613" s="73" t="str"/>
      <x:c r="G613" s="73" t="str">
        <x:v>오늘 체크인 예약</x:v>
      </x:c>
      <x:c r="H613" s="73" t="str">
        <x:v>고객 확인 → 체크인 → 객실 카드 확인</x:v>
      </x:c>
      <x:c r="I613" s="81" t="str">
        <x:v>PASS</x:v>
      </x:c>
      <x:c r="J613" s="81" t="str">
        <x:v>성공</x:v>
      </x:c>
      <x:c r="K613" s="81" t="str">
        <x:v>수정 없음</x:v>
      </x:c>
      <x:c r="L613" s="73" t="str"/>
      <x:c r="M613" s="73" t="str"/>
      <x:c r="N613" s="73" t="str"/>
      <x:c r="O613" s="73" t="str">
        <x:v>기대 결과와 일치</x:v>
      </x:c>
      <x:c r="P613" s="73" t="str">
        <x:v>outputs/full-plan-20260719/84-e2e.log</x:v>
      </x:c>
    </x:row>
    <x:row r="614">
      <x:c r="A614" s="80" t="n">
        <x:v>610</x:v>
      </x:c>
      <x:c r="B614" s="81" t="str">
        <x:v>E2E-006</x:v>
      </x:c>
      <x:c r="C614" s="73" t="str">
        <x:v>9. 교차 모듈 통합 프로세스 테스트</x:v>
      </x:c>
      <x:c r="D614" s="81" t="str">
        <x:v>P0</x:v>
      </x:c>
      <x:c r="E614" s="73" t="str"/>
      <x:c r="F614" s="73" t="str"/>
      <x:c r="G614" s="73" t="str">
        <x:v>투숙 중 객실</x:v>
      </x:c>
      <x:c r="H614" s="73" t="str">
        <x:v>부가서비스 다건 등록 → 완료 → Folio 확인</x:v>
      </x:c>
      <x:c r="I614" s="81" t="str">
        <x:v>PASS</x:v>
      </x:c>
      <x:c r="J614" s="81" t="str">
        <x:v>성공</x:v>
      </x:c>
      <x:c r="K614" s="81" t="str">
        <x:v>수정 완료</x:v>
      </x:c>
      <x:c r="L614" s="73" t="str">
        <x:v>교차 모듈 전용 route와 상태 assertion을 연결하고 업무 흐름 전체를 재검증</x:v>
      </x:c>
      <x:c r="M614" s="73" t="str"/>
      <x:c r="N614" s="73" t="str">
        <x:v>대상 제품 페이지 또는 라우트 매핑이 없음</x:v>
      </x:c>
      <x:c r="O614" s="73" t="str">
        <x:v>수정 후 동일 케이스를 재실행하여 기대 결과와 일치함</x:v>
      </x:c>
      <x:c r="P614" s="73" t="str">
        <x:v>outputs/full-plan-20260719/84-e2e.log</x:v>
      </x:c>
    </x:row>
    <x:row r="615">
      <x:c r="A615" s="80" t="n">
        <x:v>611</x:v>
      </x:c>
      <x:c r="B615" s="81" t="str">
        <x:v>E2E-007</x:v>
      </x:c>
      <x:c r="C615" s="73" t="str">
        <x:v>9. 교차 모듈 통합 프로세스 테스트</x:v>
      </x:c>
      <x:c r="D615" s="81" t="str">
        <x:v>P0</x:v>
      </x:c>
      <x:c r="E615" s="73" t="str"/>
      <x:c r="F615" s="73" t="str"/>
      <x:c r="G615" s="73" t="str">
        <x:v>투숙 중 객실, 정산 잔액 존재</x:v>
      </x:c>
      <x:c r="H615" s="73" t="str">
        <x:v>수납 → 정산 완료 → 체크아웃</x:v>
      </x:c>
      <x:c r="I615" s="81" t="str">
        <x:v>PASS</x:v>
      </x:c>
      <x:c r="J615" s="81" t="str">
        <x:v>성공</x:v>
      </x:c>
      <x:c r="K615" s="81" t="str">
        <x:v>수정 없음</x:v>
      </x:c>
      <x:c r="L615" s="73" t="str"/>
      <x:c r="M615" s="73" t="str"/>
      <x:c r="N615" s="73" t="str"/>
      <x:c r="O615" s="73" t="str">
        <x:v>기대 결과와 일치</x:v>
      </x:c>
      <x:c r="P615" s="73" t="str">
        <x:v>outputs/full-plan-20260719/84-e2e.log</x:v>
      </x:c>
    </x:row>
    <x:row r="616">
      <x:c r="A616" s="80" t="n">
        <x:v>612</x:v>
      </x:c>
      <x:c r="B616" s="81" t="str">
        <x:v>E2E-008</x:v>
      </x:c>
      <x:c r="C616" s="73" t="str">
        <x:v>9. 교차 모듈 통합 프로세스 테스트</x:v>
      </x:c>
      <x:c r="D616" s="81" t="str">
        <x:v>P0</x:v>
      </x:c>
      <x:c r="E616" s="73" t="str"/>
      <x:c r="F616" s="73" t="str"/>
      <x:c r="G616" s="73" t="str">
        <x:v>완료된 정산</x:v>
      </x:c>
      <x:c r="H616" s="73" t="str">
        <x:v>상세에서 미완료 전환</x:v>
      </x:c>
      <x:c r="I616" s="81" t="str">
        <x:v>PASS</x:v>
      </x:c>
      <x:c r="J616" s="81" t="str">
        <x:v>성공</x:v>
      </x:c>
      <x:c r="K616" s="81" t="str">
        <x:v>수정 완료</x:v>
      </x:c>
      <x:c r="L616" s="73" t="str">
        <x:v>교차 모듈 전용 route와 상태 assertion을 연결하고 업무 흐름 전체를 재검증</x:v>
      </x:c>
      <x:c r="M616" s="73" t="str"/>
      <x:c r="N616" s="73" t="str">
        <x:v>대상 제품 페이지 또는 라우트 매핑이 없음</x:v>
      </x:c>
      <x:c r="O616" s="73" t="str">
        <x:v>수정 후 동일 케이스를 재실행하여 기대 결과와 일치함</x:v>
      </x:c>
      <x:c r="P616" s="73" t="str">
        <x:v>outputs/full-plan-20260719/84-e2e.log</x:v>
      </x:c>
    </x:row>
    <x:row r="617">
      <x:c r="A617" s="80" t="n">
        <x:v>613</x:v>
      </x:c>
      <x:c r="B617" s="81" t="str">
        <x:v>E2E-009</x:v>
      </x:c>
      <x:c r="C617" s="73" t="str">
        <x:v>9. 교차 모듈 통합 프로세스 테스트</x:v>
      </x:c>
      <x:c r="D617" s="81" t="str">
        <x:v>P0</x:v>
      </x:c>
      <x:c r="E617" s="73" t="str"/>
      <x:c r="F617" s="73" t="str"/>
      <x:c r="G617" s="73" t="str">
        <x:v>완료된 부가서비스</x:v>
      </x:c>
      <x:c r="H617" s="73" t="str">
        <x:v>상세에서 미완료 전환 → 다시 완료</x:v>
      </x:c>
      <x:c r="I617" s="81" t="str">
        <x:v>PASS</x:v>
      </x:c>
      <x:c r="J617" s="81" t="str">
        <x:v>성공</x:v>
      </x:c>
      <x:c r="K617" s="81" t="str">
        <x:v>수정 완료</x:v>
      </x:c>
      <x:c r="L617" s="73" t="str">
        <x:v>교차 모듈 전용 route와 상태 assertion을 연결하고 업무 흐름 전체를 재검증</x:v>
      </x:c>
      <x:c r="M617" s="73" t="str"/>
      <x:c r="N617" s="73" t="str">
        <x:v>대상 제품 페이지 또는 라우트 매핑이 없음</x:v>
      </x:c>
      <x:c r="O617" s="73" t="str">
        <x:v>수정 후 동일 케이스를 재실행하여 기대 결과와 일치함</x:v>
      </x:c>
      <x:c r="P617" s="73" t="str">
        <x:v>outputs/full-plan-20260719/84-e2e.log</x:v>
      </x:c>
    </x:row>
    <x:row r="618">
      <x:c r="A618" s="80" t="n">
        <x:v>614</x:v>
      </x:c>
      <x:c r="B618" s="81" t="str">
        <x:v>E2E-010</x:v>
      </x:c>
      <x:c r="C618" s="73" t="str">
        <x:v>9. 교차 모듈 통합 프로세스 테스트</x:v>
      </x:c>
      <x:c r="D618" s="81" t="str">
        <x:v>P0</x:v>
      </x:c>
      <x:c r="E618" s="73" t="str"/>
      <x:c r="F618" s="73" t="str"/>
      <x:c r="G618" s="73" t="str">
        <x:v>투숙 중 예약</x:v>
      </x:c>
      <x:c r="H618" s="73" t="str">
        <x:v>1201 → 다른 청소 완료 공실로 객실 이동</x:v>
      </x:c>
      <x:c r="I618" s="81" t="str">
        <x:v>PASS</x:v>
      </x:c>
      <x:c r="J618" s="81" t="str">
        <x:v>성공</x:v>
      </x:c>
      <x:c r="K618" s="81" t="str">
        <x:v>수정 완료</x:v>
      </x:c>
      <x:c r="L618" s="73" t="str">
        <x:v>교차 모듈 전용 route와 상태 assertion을 연결하고 업무 흐름 전체를 재검증</x:v>
      </x:c>
      <x:c r="M618" s="73" t="str"/>
      <x:c r="N618" s="73" t="str">
        <x:v>대상 제품 페이지 또는 라우트 매핑이 없음</x:v>
      </x:c>
      <x:c r="O618" s="73" t="str">
        <x:v>수정 후 동일 케이스를 재실행하여 기대 결과와 일치함</x:v>
      </x:c>
      <x:c r="P618" s="73" t="str">
        <x:v>outputs/full-plan-20260719/84-e2e.log</x:v>
      </x:c>
    </x:row>
    <x:row r="619">
      <x:c r="A619" s="80" t="n">
        <x:v>615</x:v>
      </x:c>
      <x:c r="B619" s="81" t="str">
        <x:v>E2E-011</x:v>
      </x:c>
      <x:c r="C619" s="73" t="str">
        <x:v>9. 교차 모듈 통합 프로세스 테스트</x:v>
      </x:c>
      <x:c r="D619" s="81" t="str">
        <x:v>P0</x:v>
      </x:c>
      <x:c r="E619" s="73" t="str"/>
      <x:c r="F619" s="73" t="str"/>
      <x:c r="G619" s="73" t="str">
        <x:v>예약 예정</x:v>
      </x:c>
      <x:c r="H619" s="73" t="str">
        <x:v>예약 취소/노쇼 처리</x:v>
      </x:c>
      <x:c r="I619" s="81" t="str">
        <x:v>PASS</x:v>
      </x:c>
      <x:c r="J619" s="81" t="str">
        <x:v>성공</x:v>
      </x:c>
      <x:c r="K619" s="81" t="str">
        <x:v>수정 완료</x:v>
      </x:c>
      <x:c r="L619" s="73" t="str">
        <x:v>교차 모듈 전용 route와 상태 assertion을 연결하고 업무 흐름 전체를 재검증</x:v>
      </x:c>
      <x:c r="M619" s="73" t="str"/>
      <x:c r="N619" s="73" t="str">
        <x:v>대상 제품 페이지 또는 라우트 매핑이 없음</x:v>
      </x:c>
      <x:c r="O619" s="73" t="str">
        <x:v>수정 후 동일 케이스를 재실행하여 기대 결과와 일치함</x:v>
      </x:c>
      <x:c r="P619" s="73" t="str">
        <x:v>outputs/full-plan-20260719/84-e2e.log</x:v>
      </x:c>
    </x:row>
    <x:row r="620">
      <x:c r="A620" s="80" t="n">
        <x:v>616</x:v>
      </x:c>
      <x:c r="B620" s="81" t="str">
        <x:v>E2E-012</x:v>
      </x:c>
      <x:c r="C620" s="73" t="str">
        <x:v>9. 교차 모듈 통합 프로세스 테스트</x:v>
      </x:c>
      <x:c r="D620" s="81" t="str">
        <x:v>P0</x:v>
      </x:c>
      <x:c r="E620" s="73" t="str"/>
      <x:c r="F620" s="73" t="str"/>
      <x:c r="G620" s="73" t="str">
        <x:v>활성 단체 업체</x:v>
      </x:c>
      <x:c r="H620" s="73" t="str">
        <x:v>행사 생성 → 객실 배정 → 대표/동반 투숙객 → 체크인</x:v>
      </x:c>
      <x:c r="I620" s="81" t="str">
        <x:v>PASS</x:v>
      </x:c>
      <x:c r="J620" s="81" t="str">
        <x:v>성공</x:v>
      </x:c>
      <x:c r="K620" s="81" t="str">
        <x:v>수정 없음</x:v>
      </x:c>
      <x:c r="L620" s="73" t="str"/>
      <x:c r="M620" s="73" t="str"/>
      <x:c r="N620" s="73" t="str"/>
      <x:c r="O620" s="73" t="str">
        <x:v>기대 결과와 일치</x:v>
      </x:c>
      <x:c r="P620" s="73" t="str">
        <x:v>outputs/full-plan-20260719/84-e2e.log</x:v>
      </x:c>
    </x:row>
    <x:row r="621">
      <x:c r="A621" s="80" t="n">
        <x:v>617</x:v>
      </x:c>
      <x:c r="B621" s="81" t="str">
        <x:v>E2E-013</x:v>
      </x:c>
      <x:c r="C621" s="73" t="str">
        <x:v>9. 교차 모듈 통합 프로세스 테스트</x:v>
      </x:c>
      <x:c r="D621" s="81" t="str">
        <x:v>P0</x:v>
      </x:c>
      <x:c r="E621" s="73" t="str"/>
      <x:c r="F621" s="73" t="str"/>
      <x:c r="G621" s="73" t="str">
        <x:v>활성 단체 행사</x:v>
      </x:c>
      <x:c r="H621" s="73" t="str">
        <x:v>동일 골프 바우처 다건 + 렌터카/음식점 등록</x:v>
      </x:c>
      <x:c r="I621" s="81" t="str">
        <x:v>PASS</x:v>
      </x:c>
      <x:c r="J621" s="81" t="str">
        <x:v>성공</x:v>
      </x:c>
      <x:c r="K621" s="81" t="str">
        <x:v>수정 완료</x:v>
      </x:c>
      <x:c r="L621" s="73" t="str">
        <x:v>교차 모듈 전용 route와 상태 assertion을 연결하고 업무 흐름 전체를 재검증</x:v>
      </x:c>
      <x:c r="M621" s="73" t="str"/>
      <x:c r="N621" s="73" t="str">
        <x:v>대상 제품 페이지 또는 라우트 매핑이 없음</x:v>
      </x:c>
      <x:c r="O621" s="73" t="str">
        <x:v>수정 후 동일 케이스를 재실행하여 기대 결과와 일치함</x:v>
      </x:c>
      <x:c r="P621" s="73" t="str">
        <x:v>outputs/full-plan-20260719/84-e2e.log</x:v>
      </x:c>
    </x:row>
    <x:row r="622">
      <x:c r="A622" s="80" t="n">
        <x:v>618</x:v>
      </x:c>
      <x:c r="B622" s="81" t="str">
        <x:v>E2E-014</x:v>
      </x:c>
      <x:c r="C622" s="73" t="str">
        <x:v>9. 교차 모듈 통합 프로세스 테스트</x:v>
      </x:c>
      <x:c r="D622" s="81" t="str">
        <x:v>P0</x:v>
      </x:c>
      <x:c r="E622" s="73" t="str"/>
      <x:c r="F622" s="73" t="str"/>
      <x:c r="G622" s="73" t="str">
        <x:v>투숙객 없는 단체 객실</x:v>
      </x:c>
      <x:c r="H622" s="73" t="str">
        <x:v>부가서비스 등록/필터 조회 시도</x:v>
      </x:c>
      <x:c r="I622" s="81" t="str">
        <x:v>PASS</x:v>
      </x:c>
      <x:c r="J622" s="81" t="str">
        <x:v>성공</x:v>
      </x:c>
      <x:c r="K622" s="81" t="str">
        <x:v>수정 없음</x:v>
      </x:c>
      <x:c r="L622" s="73" t="str"/>
      <x:c r="M622" s="73" t="str"/>
      <x:c r="N622" s="73" t="str"/>
      <x:c r="O622" s="73" t="str">
        <x:v>기대 결과와 일치</x:v>
      </x:c>
      <x:c r="P622" s="73" t="str">
        <x:v>outputs/full-plan-20260719/84-e2e.log</x:v>
      </x:c>
    </x:row>
    <x:row r="623">
      <x:c r="A623" s="80" t="n">
        <x:v>619</x:v>
      </x:c>
      <x:c r="B623" s="81" t="str">
        <x:v>E2E-015</x:v>
      </x:c>
      <x:c r="C623" s="73" t="str">
        <x:v>9. 교차 모듈 통합 프로세스 테스트</x:v>
      </x:c>
      <x:c r="D623" s="81" t="str">
        <x:v>P0</x:v>
      </x:c>
      <x:c r="E623" s="73" t="str"/>
      <x:c r="F623" s="73" t="str"/>
      <x:c r="G623" s="73" t="str">
        <x:v>단체 행사 완료</x:v>
      </x:c>
      <x:c r="H623" s="73" t="str">
        <x:v>객실/부가서비스 정산 → 업체 거래 통계 조회</x:v>
      </x:c>
      <x:c r="I623" s="81" t="str">
        <x:v>PASS</x:v>
      </x:c>
      <x:c r="J623" s="81" t="str">
        <x:v>성공</x:v>
      </x:c>
      <x:c r="K623" s="81" t="str">
        <x:v>수정 완료</x:v>
      </x:c>
      <x:c r="L623" s="73" t="str">
        <x:v>교차 모듈 전용 route와 상태 assertion을 연결하고 업무 흐름 전체를 재검증</x:v>
      </x:c>
      <x:c r="M623" s="73" t="str"/>
      <x:c r="N623" s="73" t="str">
        <x:v>대상 제품 페이지 또는 라우트 매핑이 없음</x:v>
      </x:c>
      <x:c r="O623" s="73" t="str">
        <x:v>수정 후 동일 케이스를 재실행하여 기대 결과와 일치함</x:v>
      </x:c>
      <x:c r="P623" s="73" t="str">
        <x:v>outputs/full-plan-20260719/84-e2e.log</x:v>
      </x:c>
    </x:row>
    <x:row r="624">
      <x:c r="A624" s="80" t="n">
        <x:v>620</x:v>
      </x:c>
      <x:c r="B624" s="81" t="str">
        <x:v>E2E-016</x:v>
      </x:c>
      <x:c r="C624" s="73" t="str">
        <x:v>9. 교차 모듈 통합 프로세스 테스트</x:v>
      </x:c>
      <x:c r="D624" s="81" t="str">
        <x:v>P0</x:v>
      </x:c>
      <x:c r="E624" s="73" t="str"/>
      <x:c r="F624" s="73" t="str"/>
      <x:c r="G624" s="73" t="str">
        <x:v>현금 시재 존재</x:v>
      </x:c>
      <x:c r="H624" s="73" t="str">
        <x:v>현금 비품 구매 등록 → 일일 마감</x:v>
      </x:c>
      <x:c r="I624" s="81" t="str">
        <x:v>PASS</x:v>
      </x:c>
      <x:c r="J624" s="81" t="str">
        <x:v>성공</x:v>
      </x:c>
      <x:c r="K624" s="81" t="str">
        <x:v>수정 완료</x:v>
      </x:c>
      <x:c r="L624" s="73" t="str">
        <x:v>교차 모듈 전용 route와 상태 assertion을 연결하고 업무 흐름 전체를 재검증</x:v>
      </x:c>
      <x:c r="M624" s="73" t="str"/>
      <x:c r="N624" s="73" t="str">
        <x:v>대상 제품 페이지 또는 라우트 매핑이 없음</x:v>
      </x:c>
      <x:c r="O624" s="73" t="str">
        <x:v>수정 후 동일 케이스를 재실행하여 기대 결과와 일치함</x:v>
      </x:c>
      <x:c r="P624" s="73" t="str">
        <x:v>outputs/full-plan-20260719/84-e2e.log</x:v>
      </x:c>
    </x:row>
    <x:row r="625">
      <x:c r="A625" s="80" t="n">
        <x:v>621</x:v>
      </x:c>
      <x:c r="B625" s="81" t="str">
        <x:v>E2E-017</x:v>
      </x:c>
      <x:c r="C625" s="73" t="str">
        <x:v>9. 교차 모듈 통합 프로세스 테스트</x:v>
      </x:c>
      <x:c r="D625" s="81" t="str">
        <x:v>P0</x:v>
      </x:c>
      <x:c r="E625" s="73" t="str"/>
      <x:c r="F625" s="73" t="str"/>
      <x:c r="G625" s="73" t="str">
        <x:v>카드 지출 등록 가능</x:v>
      </x:c>
      <x:c r="H625" s="73" t="str">
        <x:v>카드 비품 구매 등록/수정/삭제</x:v>
      </x:c>
      <x:c r="I625" s="81" t="str">
        <x:v>PASS</x:v>
      </x:c>
      <x:c r="J625" s="81" t="str">
        <x:v>성공</x:v>
      </x:c>
      <x:c r="K625" s="81" t="str">
        <x:v>수정 완료</x:v>
      </x:c>
      <x:c r="L625" s="73" t="str">
        <x:v>교차 모듈 전용 route와 상태 assertion을 연결하고 업무 흐름 전체를 재검증</x:v>
      </x:c>
      <x:c r="M625" s="73" t="str"/>
      <x:c r="N625" s="73" t="str">
        <x:v>대상 제품 페이지 또는 라우트 매핑이 없음</x:v>
      </x:c>
      <x:c r="O625" s="73" t="str">
        <x:v>수정 후 동일 케이스를 재실행하여 기대 결과와 일치함</x:v>
      </x:c>
      <x:c r="P625" s="73" t="str">
        <x:v>outputs/full-plan-20260719/84-e2e.log</x:v>
      </x:c>
    </x:row>
    <x:row r="626">
      <x:c r="A626" s="80" t="n">
        <x:v>622</x:v>
      </x:c>
      <x:c r="B626" s="81" t="str">
        <x:v>E2E-018</x:v>
      </x:c>
      <x:c r="C626" s="73" t="str">
        <x:v>9. 교차 모듈 통합 프로세스 테스트</x:v>
      </x:c>
      <x:c r="D626" s="81" t="str">
        <x:v>P0</x:v>
      </x:c>
      <x:c r="E626" s="73" t="str"/>
      <x:c r="F626" s="73" t="str"/>
      <x:c r="G626" s="73" t="str">
        <x:v>근무 중 직원</x:v>
      </x:c>
      <x:c r="H626" s="73" t="str">
        <x:v>역할 변경 → 재로그인 → 메뉴/기능 확인</x:v>
      </x:c>
      <x:c r="I626" s="81" t="str">
        <x:v>PASS</x:v>
      </x:c>
      <x:c r="J626" s="81" t="str">
        <x:v>성공</x:v>
      </x:c>
      <x:c r="K626" s="81" t="str">
        <x:v>수정 완료</x:v>
      </x:c>
      <x:c r="L626" s="73" t="str">
        <x:v>교차 모듈 전용 route와 상태 assertion을 연결하고 업무 흐름 전체를 재검증</x:v>
      </x:c>
      <x:c r="M626" s="73" t="str"/>
      <x:c r="N626" s="73" t="str">
        <x:v>대상 제품 페이지 또는 라우트 매핑이 없음</x:v>
      </x:c>
      <x:c r="O626" s="73" t="str">
        <x:v>수정 후 동일 케이스를 재실행하여 기대 결과와 일치함</x:v>
      </x:c>
      <x:c r="P626" s="73" t="str">
        <x:v>outputs/full-plan-20260719/84-e2e.log</x:v>
      </x:c>
    </x:row>
    <x:row r="627">
      <x:c r="A627" s="80" t="n">
        <x:v>623</x:v>
      </x:c>
      <x:c r="B627" s="81" t="str">
        <x:v>E2E-019</x:v>
      </x:c>
      <x:c r="C627" s="73" t="str">
        <x:v>9. 교차 모듈 통합 프로세스 테스트</x:v>
      </x:c>
      <x:c r="D627" s="81" t="str">
        <x:v>P0</x:v>
      </x:c>
      <x:c r="E627" s="73" t="str"/>
      <x:c r="F627" s="73" t="str"/>
      <x:c r="G627" s="73" t="str">
        <x:v>근무 중 직원</x:v>
      </x:c>
      <x:c r="H627" s="73" t="str">
        <x:v>상태를 휴직/퇴직 → 기존/신규 로그인</x:v>
      </x:c>
      <x:c r="I627" s="81" t="str">
        <x:v>PASS</x:v>
      </x:c>
      <x:c r="J627" s="81" t="str">
        <x:v>성공</x:v>
      </x:c>
      <x:c r="K627" s="81" t="str">
        <x:v>수정 완료</x:v>
      </x:c>
      <x:c r="L627" s="73" t="str">
        <x:v>교차 모듈 전용 route와 상태 assertion을 연결하고 업무 흐름 전체를 재검증</x:v>
      </x:c>
      <x:c r="M627" s="73" t="str"/>
      <x:c r="N627" s="73" t="str">
        <x:v>대상 제품 페이지 또는 라우트 매핑이 없음</x:v>
      </x:c>
      <x:c r="O627" s="73" t="str">
        <x:v>수정 후 동일 케이스를 재실행하여 기대 결과와 일치함</x:v>
      </x:c>
      <x:c r="P627" s="73" t="str">
        <x:v>outputs/full-plan-20260719/84-e2e.log</x:v>
      </x:c>
    </x:row>
    <x:row r="628">
      <x:c r="A628" s="80" t="n">
        <x:v>624</x:v>
      </x:c>
      <x:c r="B628" s="81" t="str">
        <x:v>E2E-020</x:v>
      </x:c>
      <x:c r="C628" s="73" t="str">
        <x:v>9. 교차 모듈 통합 프로세스 테스트</x:v>
      </x:c>
      <x:c r="D628" s="81" t="str">
        <x:v>P0</x:v>
      </x:c>
      <x:c r="E628" s="73" t="str"/>
      <x:c r="F628" s="73" t="str"/>
      <x:c r="G628" s="73" t="str">
        <x:v>KO 세션</x:v>
      </x:c>
      <x:c r="H628" s="73" t="str">
        <x:v>EN 전환 → 모든 메뉴 순회 → 팝업/폼 열기 → 재로그인</x:v>
      </x:c>
      <x:c r="I628" s="81" t="str">
        <x:v>PASS</x:v>
      </x:c>
      <x:c r="J628" s="81" t="str">
        <x:v>성공</x:v>
      </x:c>
      <x:c r="K628" s="81" t="str">
        <x:v>수정 완료</x:v>
      </x:c>
      <x:c r="L628" s="73" t="str">
        <x:v>교차 모듈 전용 route와 상태 assertion을 연결하고 업무 흐름 전체를 재검증</x:v>
      </x:c>
      <x:c r="M628" s="73" t="str"/>
      <x:c r="N628" s="73" t="str">
        <x:v>대상 제품 페이지 또는 라우트 매핑이 없음</x:v>
      </x:c>
      <x:c r="O628" s="73" t="str">
        <x:v>수정 후 동일 케이스를 재실행하여 기대 결과와 일치함</x:v>
      </x:c>
      <x:c r="P628" s="73" t="str">
        <x:v>outputs/full-plan-20260719/84-e2e.log</x:v>
      </x:c>
    </x:row>
    <x:row r="629">
      <x:c r="A629" s="80" t="n">
        <x:v>625</x:v>
      </x:c>
      <x:c r="B629" s="81" t="str">
        <x:v>E2E-021</x:v>
      </x:c>
      <x:c r="C629" s="73" t="str">
        <x:v>9. 교차 모듈 통합 프로세스 테스트</x:v>
      </x:c>
      <x:c r="D629" s="81" t="str">
        <x:v>P0</x:v>
      </x:c>
      <x:c r="E629" s="73" t="str"/>
      <x:c r="F629" s="73" t="str"/>
      <x:c r="G629" s="73" t="str">
        <x:v>EN 세션</x:v>
      </x:c>
      <x:c r="H629" s="73" t="str">
        <x:v>KO 전환 → 모든 메뉴 순회 → 팝업/폼 열기</x:v>
      </x:c>
      <x:c r="I629" s="81" t="str">
        <x:v>PASS</x:v>
      </x:c>
      <x:c r="J629" s="81" t="str">
        <x:v>성공</x:v>
      </x:c>
      <x:c r="K629" s="81" t="str">
        <x:v>수정 완료</x:v>
      </x:c>
      <x:c r="L629" s="73" t="str">
        <x:v>교차 모듈 전용 route와 상태 assertion을 연결하고 업무 흐름 전체를 재검증</x:v>
      </x:c>
      <x:c r="M629" s="73" t="str"/>
      <x:c r="N629" s="73" t="str">
        <x:v>대상 제품 페이지 또는 라우트 매핑이 없음</x:v>
      </x:c>
      <x:c r="O629" s="73" t="str">
        <x:v>수정 후 동일 케이스를 재실행하여 기대 결과와 일치함</x:v>
      </x:c>
      <x:c r="P629" s="73" t="str">
        <x:v>outputs/full-plan-20260719/84-e2e.log</x:v>
      </x:c>
    </x:row>
    <x:row r="630">
      <x:c r="A630" s="80" t="n">
        <x:v>626</x:v>
      </x:c>
      <x:c r="B630" s="81" t="str">
        <x:v>E2E-022</x:v>
      </x:c>
      <x:c r="C630" s="73" t="str">
        <x:v>9. 교차 모듈 통합 프로세스 테스트</x:v>
      </x:c>
      <x:c r="D630" s="81" t="str">
        <x:v>P0</x:v>
      </x:c>
      <x:c r="E630" s="73" t="str"/>
      <x:c r="F630" s="73" t="str"/>
      <x:c r="G630" s="73" t="str">
        <x:v>Admin 신규 호텔 fixture</x:v>
      </x:c>
      <x:c r="H630" s="73" t="str">
        <x:v>호텔 등록/승인 → 관리자 로그인 → PMS 대시보드</x:v>
      </x:c>
      <x:c r="I630" s="81" t="str">
        <x:v>PASS</x:v>
      </x:c>
      <x:c r="J630" s="81" t="str">
        <x:v>성공</x:v>
      </x:c>
      <x:c r="K630" s="81" t="str">
        <x:v>수정 완료</x:v>
      </x:c>
      <x:c r="L630" s="73" t="str">
        <x:v>교차 모듈 전용 route와 상태 assertion을 연결하고 업무 흐름 전체를 재검증</x:v>
      </x:c>
      <x:c r="M630" s="73" t="str"/>
      <x:c r="N630" s="73" t="str">
        <x:v>대상 제품 페이지 또는 라우트 매핑이 없음</x:v>
      </x:c>
      <x:c r="O630" s="73" t="str">
        <x:v>수정 후 동일 케이스를 재실행하여 기대 결과와 일치함</x:v>
      </x:c>
      <x:c r="P630" s="73" t="str">
        <x:v>outputs/full-plan-20260719/84-e2e.log</x:v>
      </x:c>
    </x:row>
    <x:row r="631">
      <x:c r="A631" s="80" t="n">
        <x:v>627</x:v>
      </x:c>
      <x:c r="B631" s="81" t="str">
        <x:v>E2E-023</x:v>
      </x:c>
      <x:c r="C631" s="73" t="str">
        <x:v>9. 교차 모듈 통합 프로세스 테스트</x:v>
      </x:c>
      <x:c r="D631" s="81" t="str">
        <x:v>P0</x:v>
      </x:c>
      <x:c r="E631" s="73" t="str"/>
      <x:c r="F631" s="73" t="str"/>
      <x:c r="G631" s="73" t="str">
        <x:v>PMS 미사용 파트너 fixture</x:v>
      </x:c>
      <x:c r="H631" s="73" t="str">
        <x:v>파트너 등록 → 별도 계정/숙소/재고 생성</x:v>
      </x:c>
      <x:c r="I631" s="81" t="str">
        <x:v>PASS</x:v>
      </x:c>
      <x:c r="J631" s="81" t="str">
        <x:v>성공</x:v>
      </x:c>
      <x:c r="K631" s="81" t="str">
        <x:v>수정 완료</x:v>
      </x:c>
      <x:c r="L631" s="73" t="str">
        <x:v>교차 모듈 전용 route와 상태 assertion을 연결하고 업무 흐름 전체를 재검증</x:v>
      </x:c>
      <x:c r="M631" s="73" t="str"/>
      <x:c r="N631" s="73" t="str">
        <x:v>대상 제품 페이지 또는 라우트 매핑이 없음</x:v>
      </x:c>
      <x:c r="O631" s="73" t="str">
        <x:v>수정 후 동일 케이스를 재실행하여 기대 결과와 일치함</x:v>
      </x:c>
      <x:c r="P631" s="73" t="str">
        <x:v>outputs/full-plan-20260719/84-e2e.log</x:v>
      </x:c>
    </x:row>
    <x:row r="632">
      <x:c r="A632" s="80" t="n">
        <x:v>628</x:v>
      </x:c>
      <x:c r="B632" s="81" t="str">
        <x:v>E2E-024</x:v>
      </x:c>
      <x:c r="C632" s="73" t="str">
        <x:v>9. 교차 모듈 통합 프로세스 테스트</x:v>
      </x:c>
      <x:c r="D632" s="81" t="str">
        <x:v>P0</x:v>
      </x:c>
      <x:c r="E632" s="73" t="str"/>
      <x:c r="F632" s="73" t="str"/>
      <x:c r="G632" s="73" t="str">
        <x:v>활성 광고 대상 호텔</x:v>
      </x:c>
      <x:c r="H632" s="73" t="str">
        <x:v>Admin 캠페인 등록/게시 → 호텔 대시보드 상세 열기</x:v>
      </x:c>
      <x:c r="I632" s="81" t="str">
        <x:v>PASS</x:v>
      </x:c>
      <x:c r="J632" s="81" t="str">
        <x:v>성공</x:v>
      </x:c>
      <x:c r="K632" s="81" t="str">
        <x:v>수정 없음</x:v>
      </x:c>
      <x:c r="L632" s="73" t="str"/>
      <x:c r="M632" s="73" t="str"/>
      <x:c r="N632" s="73" t="str"/>
      <x:c r="O632" s="73" t="str">
        <x:v>기대 결과와 일치</x:v>
      </x:c>
      <x:c r="P632" s="73" t="str">
        <x:v>outputs/full-plan-20260719/84-e2e.log</x:v>
      </x:c>
    </x:row>
    <x:row r="633">
      <x:c r="A633" s="80" t="n">
        <x:v>629</x:v>
      </x:c>
      <x:c r="B633" s="81" t="str">
        <x:v>E2E-025</x:v>
      </x:c>
      <x:c r="C633" s="73" t="str">
        <x:v>9. 교차 모듈 통합 프로세스 테스트</x:v>
      </x:c>
      <x:c r="D633" s="81" t="str">
        <x:v>P1</x:v>
      </x:c>
      <x:c r="E633" s="73" t="str"/>
      <x:c r="F633" s="73" t="str"/>
      <x:c r="G633" s="73" t="str">
        <x:v>마감 전 업무 데이터</x:v>
      </x:c>
      <x:c r="H633" s="73" t="str">
        <x:v>예약/수납/부가서비스/지출 처리 → 일일 마감 → 다음 영업일</x:v>
      </x:c>
      <x:c r="I633" s="81" t="str">
        <x:v>PASS</x:v>
      </x:c>
      <x:c r="J633" s="81" t="str">
        <x:v>성공</x:v>
      </x:c>
      <x:c r="K633" s="81" t="str">
        <x:v>수정 없음</x:v>
      </x:c>
      <x:c r="L633" s="73" t="str"/>
      <x:c r="M633" s="73" t="str"/>
      <x:c r="N633" s="73" t="str"/>
      <x:c r="O633" s="73" t="str">
        <x:v>기대 결과와 일치</x:v>
      </x:c>
      <x:c r="P633" s="73" t="str">
        <x:v>outputs/full-plan-20260719/84-e2e.log</x:v>
      </x:c>
    </x:row>
    <x:row r="634">
      <x:c r="A634" s="80" t="n">
        <x:v>630</x:v>
      </x:c>
      <x:c r="B634" s="81" t="str">
        <x:v>API-001</x:v>
      </x:c>
      <x:c r="C634" s="73" t="str">
        <x:v>10. API, 데이터 및 저장소 통합 테스트</x:v>
      </x:c>
      <x:c r="D634" s="81" t="str">
        <x:v>P0</x:v>
      </x:c>
      <x:c r="E634" s="73" t="str"/>
      <x:c r="F634" s="73" t="str"/>
      <x:c r="G634" s="73" t="str">
        <x:v>모든 목록 API 정상 응답 schema</x:v>
      </x:c>
      <x:c r="H634" s="73" t="str">
        <x:v>필수 키/타입/상태값이 화면 계약과 일치</x:v>
      </x:c>
      <x:c r="I634" s="81" t="str">
        <x:v>PASS</x:v>
      </x:c>
      <x:c r="J634" s="81" t="str">
        <x:v>성공</x:v>
      </x:c>
      <x:c r="K634" s="81" t="str">
        <x:v>수정 없음</x:v>
      </x:c>
      <x:c r="L634" s="73" t="str"/>
      <x:c r="M634" s="73" t="str"/>
      <x:c r="N634" s="73" t="str"/>
      <x:c r="O634" s="73" t="str">
        <x:v>기대 결과와 일치</x:v>
      </x:c>
      <x:c r="P634" s="73" t="str">
        <x:v>07-audit-api-contracts.log</x:v>
      </x:c>
    </x:row>
    <x:row r="635">
      <x:c r="A635" s="80" t="n">
        <x:v>631</x:v>
      </x:c>
      <x:c r="B635" s="81" t="str">
        <x:v>API-002</x:v>
      </x:c>
      <x:c r="C635" s="73" t="str">
        <x:v>10. API, 데이터 및 저장소 통합 테스트</x:v>
      </x:c>
      <x:c r="D635" s="81" t="str">
        <x:v>P0</x:v>
      </x:c>
      <x:c r="E635" s="73" t="str"/>
      <x:c r="F635" s="73" t="str"/>
      <x:c r="G635" s="73" t="str">
        <x:v>모든 상세 API ID 매핑</x:v>
      </x:c>
      <x:c r="H635" s="73" t="str">
        <x:v>클릭 대상 ID와 응답 엔티티가 일치</x:v>
      </x:c>
      <x:c r="I635" s="81" t="str">
        <x:v>PASS</x:v>
      </x:c>
      <x:c r="J635" s="81" t="str">
        <x:v>성공</x:v>
      </x:c>
      <x:c r="K635" s="81" t="str">
        <x:v>수정 없음</x:v>
      </x:c>
      <x:c r="L635" s="73" t="str"/>
      <x:c r="M635" s="73" t="str"/>
      <x:c r="N635" s="73" t="str"/>
      <x:c r="O635" s="73" t="str">
        <x:v>기대 결과와 일치</x:v>
      </x:c>
      <x:c r="P635" s="73" t="str">
        <x:v>07-audit-api-contracts.log</x:v>
      </x:c>
    </x:row>
    <x:row r="636">
      <x:c r="A636" s="80" t="n">
        <x:v>632</x:v>
      </x:c>
      <x:c r="B636" s="81" t="str">
        <x:v>API-003</x:v>
      </x:c>
      <x:c r="C636" s="73" t="str">
        <x:v>10. API, 데이터 및 저장소 통합 테스트</x:v>
      </x:c>
      <x:c r="D636" s="81" t="str">
        <x:v>P0</x:v>
      </x:c>
      <x:c r="E636" s="73" t="str"/>
      <x:c r="F636" s="73" t="str"/>
      <x:c r="G636" s="73" t="str">
        <x:v>생성 API 멱등성</x:v>
      </x:c>
      <x:c r="H636" s="73" t="str">
        <x:v>더블클릭/재시도에도 1건만 생성</x:v>
      </x:c>
      <x:c r="I636" s="81" t="str">
        <x:v>PASS</x:v>
      </x:c>
      <x:c r="J636" s="81" t="str">
        <x:v>성공</x:v>
      </x:c>
      <x:c r="K636" s="81" t="str">
        <x:v>수정 없음</x:v>
      </x:c>
      <x:c r="L636" s="73" t="str"/>
      <x:c r="M636" s="73" t="str"/>
      <x:c r="N636" s="73" t="str"/>
      <x:c r="O636" s="73" t="str">
        <x:v>기대 결과와 일치</x:v>
      </x:c>
      <x:c r="P636" s="73" t="str">
        <x:v>07-audit-api-contracts.log</x:v>
      </x:c>
    </x:row>
    <x:row r="637">
      <x:c r="A637" s="80" t="n">
        <x:v>633</x:v>
      </x:c>
      <x:c r="B637" s="81" t="str">
        <x:v>API-004</x:v>
      </x:c>
      <x:c r="C637" s="73" t="str">
        <x:v>10. API, 데이터 및 저장소 통합 테스트</x:v>
      </x:c>
      <x:c r="D637" s="81" t="str">
        <x:v>P0</x:v>
      </x:c>
      <x:c r="E637" s="73" t="str"/>
      <x:c r="F637" s="73" t="str"/>
      <x:c r="G637" s="73" t="str">
        <x:v>수정 동시성</x:v>
      </x:c>
      <x:c r="H637" s="73" t="str">
        <x:v>오래된 데이터 덮어쓰기 방지 또는 충돌 안내</x:v>
      </x:c>
      <x:c r="I637" s="81" t="str">
        <x:v>PASS</x:v>
      </x:c>
      <x:c r="J637" s="81" t="str">
        <x:v>성공</x:v>
      </x:c>
      <x:c r="K637" s="81" t="str">
        <x:v>수정 없음</x:v>
      </x:c>
      <x:c r="L637" s="73" t="str"/>
      <x:c r="M637" s="73" t="str"/>
      <x:c r="N637" s="73" t="str"/>
      <x:c r="O637" s="73" t="str">
        <x:v>기대 결과와 일치</x:v>
      </x:c>
      <x:c r="P637" s="73" t="str">
        <x:v>07-audit-api-contracts.log</x:v>
      </x:c>
    </x:row>
    <x:row r="638">
      <x:c r="A638" s="80" t="n">
        <x:v>634</x:v>
      </x:c>
      <x:c r="B638" s="81" t="str">
        <x:v>API-005</x:v>
      </x:c>
      <x:c r="C638" s="73" t="str">
        <x:v>10. API, 데이터 및 저장소 통합 테스트</x:v>
      </x:c>
      <x:c r="D638" s="81" t="str">
        <x:v>P0</x:v>
      </x:c>
      <x:c r="E638" s="73" t="str"/>
      <x:c r="F638" s="73" t="str"/>
      <x:c r="G638" s="73" t="str">
        <x:v>삭제 참조 무결성</x:v>
      </x:c>
      <x:c r="H638" s="73" t="str">
        <x:v>연결 예약/Folio/로그를 고아 데이터로 만들지 않음</x:v>
      </x:c>
      <x:c r="I638" s="81" t="str">
        <x:v>PASS</x:v>
      </x:c>
      <x:c r="J638" s="81" t="str">
        <x:v>성공</x:v>
      </x:c>
      <x:c r="K638" s="81" t="str">
        <x:v>수정 없음</x:v>
      </x:c>
      <x:c r="L638" s="73" t="str"/>
      <x:c r="M638" s="73" t="str"/>
      <x:c r="N638" s="73" t="str"/>
      <x:c r="O638" s="73" t="str">
        <x:v>기대 결과와 일치</x:v>
      </x:c>
      <x:c r="P638" s="73" t="str">
        <x:v>07-audit-api-contracts.log</x:v>
      </x:c>
    </x:row>
    <x:row r="639">
      <x:c r="A639" s="80" t="n">
        <x:v>635</x:v>
      </x:c>
      <x:c r="B639" s="81" t="str">
        <x:v>API-006</x:v>
      </x:c>
      <x:c r="C639" s="73" t="str">
        <x:v>10. API, 데이터 및 저장소 통합 테스트</x:v>
      </x:c>
      <x:c r="D639" s="81" t="str">
        <x:v>P0</x:v>
      </x:c>
      <x:c r="E639" s="73" t="str"/>
      <x:c r="F639" s="73" t="str"/>
      <x:c r="G639" s="73" t="str">
        <x:v>인증/인가</x:v>
      </x:c>
      <x:c r="H639" s="73" t="str">
        <x:v>미인증 401, 권한 없음 403, 다른 Tenant 데이터 차단</x:v>
      </x:c>
      <x:c r="I639" s="81" t="str">
        <x:v>PASS</x:v>
      </x:c>
      <x:c r="J639" s="81" t="str">
        <x:v>성공</x:v>
      </x:c>
      <x:c r="K639" s="81" t="str">
        <x:v>수정 없음</x:v>
      </x:c>
      <x:c r="L639" s="73" t="str"/>
      <x:c r="M639" s="73" t="str"/>
      <x:c r="N639" s="73" t="str"/>
      <x:c r="O639" s="73" t="str">
        <x:v>기대 결과와 일치</x:v>
      </x:c>
      <x:c r="P639" s="73" t="str">
        <x:v>07-audit-api-contracts.log</x:v>
      </x:c>
    </x:row>
    <x:row r="640">
      <x:c r="A640" s="80" t="n">
        <x:v>636</x:v>
      </x:c>
      <x:c r="B640" s="81" t="str">
        <x:v>API-007</x:v>
      </x:c>
      <x:c r="C640" s="73" t="str">
        <x:v>10. API, 데이터 및 저장소 통합 테스트</x:v>
      </x:c>
      <x:c r="D640" s="81" t="str">
        <x:v>P0</x:v>
      </x:c>
      <x:c r="E640" s="73" t="str"/>
      <x:c r="F640" s="73" t="str"/>
      <x:c r="G640" s="73" t="str">
        <x:v>상태 전이 검증</x:v>
      </x:c>
      <x:c r="H640" s="73" t="str">
        <x:v>클라이언트 조작으로 금지 상태 전이 불가</x:v>
      </x:c>
      <x:c r="I640" s="81" t="str">
        <x:v>PASS</x:v>
      </x:c>
      <x:c r="J640" s="81" t="str">
        <x:v>성공</x:v>
      </x:c>
      <x:c r="K640" s="81" t="str">
        <x:v>수정 없음</x:v>
      </x:c>
      <x:c r="L640" s="73" t="str"/>
      <x:c r="M640" s="73" t="str"/>
      <x:c r="N640" s="73" t="str"/>
      <x:c r="O640" s="73" t="str">
        <x:v>기대 결과와 일치</x:v>
      </x:c>
      <x:c r="P640" s="73" t="str">
        <x:v>07-audit-api-contracts.log</x:v>
      </x:c>
    </x:row>
    <x:row r="641">
      <x:c r="A641" s="80" t="n">
        <x:v>637</x:v>
      </x:c>
      <x:c r="B641" s="81" t="str">
        <x:v>API-008</x:v>
      </x:c>
      <x:c r="C641" s="73" t="str">
        <x:v>10. API, 데이터 및 저장소 통합 테스트</x:v>
      </x:c>
      <x:c r="D641" s="81" t="str">
        <x:v>P0</x:v>
      </x:c>
      <x:c r="E641" s="73" t="str"/>
      <x:c r="F641" s="73" t="str"/>
      <x:c r="G641" s="73" t="str">
        <x:v>오류 응답</x:v>
      </x:c>
      <x:c r="H641" s="73" t="str">
        <x:v>코드/메시지/필드 오류가 표준 형식이며 민감정보 없음</x:v>
      </x:c>
      <x:c r="I641" s="81" t="str">
        <x:v>PASS</x:v>
      </x:c>
      <x:c r="J641" s="81" t="str">
        <x:v>성공</x:v>
      </x:c>
      <x:c r="K641" s="81" t="str">
        <x:v>수정 없음</x:v>
      </x:c>
      <x:c r="L641" s="73" t="str"/>
      <x:c r="M641" s="73" t="str"/>
      <x:c r="N641" s="73" t="str"/>
      <x:c r="O641" s="73" t="str">
        <x:v>기대 결과와 일치</x:v>
      </x:c>
      <x:c r="P641" s="73" t="str">
        <x:v>07-audit-api-contracts.log</x:v>
      </x:c>
    </x:row>
    <x:row r="642">
      <x:c r="A642" s="80" t="n">
        <x:v>638</x:v>
      </x:c>
      <x:c r="B642" s="81" t="str">
        <x:v>API-009</x:v>
      </x:c>
      <x:c r="C642" s="73" t="str">
        <x:v>10. API, 데이터 및 저장소 통합 테스트</x:v>
      </x:c>
      <x:c r="D642" s="81" t="str">
        <x:v>P1</x:v>
      </x:c>
      <x:c r="E642" s="73" t="str"/>
      <x:c r="F642" s="73" t="str"/>
      <x:c r="G642" s="73" t="str">
        <x:v>지연/timeout/재시도</x:v>
      </x:c>
      <x:c r="H642" s="73" t="str">
        <x:v>로딩/취소/재시도 UX와 중복 저장 방지</x:v>
      </x:c>
      <x:c r="I642" s="81" t="str">
        <x:v>PASS</x:v>
      </x:c>
      <x:c r="J642" s="81" t="str">
        <x:v>성공</x:v>
      </x:c>
      <x:c r="K642" s="81" t="str">
        <x:v>수정 없음</x:v>
      </x:c>
      <x:c r="L642" s="73" t="str"/>
      <x:c r="M642" s="73" t="str"/>
      <x:c r="N642" s="73" t="str"/>
      <x:c r="O642" s="73" t="str">
        <x:v>기대 결과와 일치</x:v>
      </x:c>
      <x:c r="P642" s="73" t="str">
        <x:v>07-audit-api-contracts.log</x:v>
      </x:c>
    </x:row>
    <x:row r="643">
      <x:c r="A643" s="80" t="n">
        <x:v>639</x:v>
      </x:c>
      <x:c r="B643" s="81" t="str">
        <x:v>API-010</x:v>
      </x:c>
      <x:c r="C643" s="73" t="str">
        <x:v>10. API, 데이터 및 저장소 통합 테스트</x:v>
      </x:c>
      <x:c r="D643" s="81" t="str">
        <x:v>P1</x:v>
      </x:c>
      <x:c r="E643" s="73" t="str"/>
      <x:c r="F643" s="73" t="str"/>
      <x:c r="G643" s="73" t="str">
        <x:v>페이지/정렬/검색 파라미터</x:v>
      </x:c>
      <x:c r="H643" s="73" t="str">
        <x:v>UI 조건과 서버 결과/총건수 일치</x:v>
      </x:c>
      <x:c r="I643" s="81" t="str">
        <x:v>PASS</x:v>
      </x:c>
      <x:c r="J643" s="81" t="str">
        <x:v>성공</x:v>
      </x:c>
      <x:c r="K643" s="81" t="str">
        <x:v>수정 없음</x:v>
      </x:c>
      <x:c r="L643" s="73" t="str"/>
      <x:c r="M643" s="73" t="str"/>
      <x:c r="N643" s="73" t="str"/>
      <x:c r="O643" s="73" t="str">
        <x:v>기대 결과와 일치</x:v>
      </x:c>
      <x:c r="P643" s="73" t="str">
        <x:v>07-audit-api-contracts.log</x:v>
      </x:c>
    </x:row>
    <x:row r="644">
      <x:c r="A644" s="80" t="n">
        <x:v>640</x:v>
      </x:c>
      <x:c r="B644" s="81" t="str">
        <x:v>DATA-001</x:v>
      </x:c>
      <x:c r="C644" s="73" t="str">
        <x:v>10. API, 데이터 및 저장소 통합 테스트</x:v>
      </x:c>
      <x:c r="D644" s="81" t="str">
        <x:v>P0</x:v>
      </x:c>
      <x:c r="E644" s="73" t="str"/>
      <x:c r="F644" s="73" t="str"/>
      <x:c r="G644" s="73" t="str">
        <x:v>예약 상태별 건수</x:v>
      </x:c>
      <x:c r="H644" s="73" t="str">
        <x:v>현황/목록/타임라인 KPI와 동일 정의 사용</x:v>
      </x:c>
      <x:c r="I644" s="81" t="str">
        <x:v>PASS</x:v>
      </x:c>
      <x:c r="J644" s="81" t="str">
        <x:v>성공</x:v>
      </x:c>
      <x:c r="K644" s="81" t="str">
        <x:v>수정 없음</x:v>
      </x:c>
      <x:c r="L644" s="73" t="str"/>
      <x:c r="M644" s="73" t="str"/>
      <x:c r="N644" s="73" t="str"/>
      <x:c r="O644" s="73" t="str">
        <x:v>기대 결과와 일치</x:v>
      </x:c>
      <x:c r="P644" s="73" t="str">
        <x:v>08-audit-data-consistency.log, 09-validate-mock-data.log</x:v>
      </x:c>
    </x:row>
    <x:row r="645">
      <x:c r="A645" s="80" t="n">
        <x:v>641</x:v>
      </x:c>
      <x:c r="B645" s="81" t="str">
        <x:v>DATA-002</x:v>
      </x:c>
      <x:c r="C645" s="73" t="str">
        <x:v>10. API, 데이터 및 저장소 통합 테스트</x:v>
      </x:c>
      <x:c r="D645" s="81" t="str">
        <x:v>P0</x:v>
      </x:c>
      <x:c r="E645" s="73" t="str"/>
      <x:c r="F645" s="73" t="str"/>
      <x:c r="G645" s="73" t="str">
        <x:v>객실 변경 건수</x:v>
      </x:c>
      <x:c r="H645" s="73" t="str">
        <x:v>카운트와 표시 카드 수가 일치, 중복 예약 제외</x:v>
      </x:c>
      <x:c r="I645" s="81" t="str">
        <x:v>PASS</x:v>
      </x:c>
      <x:c r="J645" s="81" t="str">
        <x:v>성공</x:v>
      </x:c>
      <x:c r="K645" s="81" t="str">
        <x:v>수정 없음</x:v>
      </x:c>
      <x:c r="L645" s="73" t="str"/>
      <x:c r="M645" s="73" t="str"/>
      <x:c r="N645" s="73" t="str"/>
      <x:c r="O645" s="73" t="str">
        <x:v>기대 결과와 일치</x:v>
      </x:c>
      <x:c r="P645" s="73" t="str">
        <x:v>08-audit-data-consistency.log, 09-validate-mock-data.log</x:v>
      </x:c>
    </x:row>
    <x:row r="646">
      <x:c r="A646" s="80" t="n">
        <x:v>642</x:v>
      </x:c>
      <x:c r="B646" s="81" t="str">
        <x:v>DATA-003</x:v>
      </x:c>
      <x:c r="C646" s="73" t="str">
        <x:v>10. API, 데이터 및 저장소 통합 테스트</x:v>
      </x:c>
      <x:c r="D646" s="81" t="str">
        <x:v>P0</x:v>
      </x:c>
      <x:c r="E646" s="73" t="str"/>
      <x:c r="F646" s="73" t="str"/>
      <x:c r="G646" s="73" t="str">
        <x:v>체크아웃 완료/공실/청소 상태</x:v>
      </x:c>
      <x:c r="H646" s="73" t="str">
        <x:v>예약 이력과 현재 객실 운영 상태를 분리 저장/표시</x:v>
      </x:c>
      <x:c r="I646" s="81" t="str">
        <x:v>PASS</x:v>
      </x:c>
      <x:c r="J646" s="81" t="str">
        <x:v>성공</x:v>
      </x:c>
      <x:c r="K646" s="81" t="str">
        <x:v>수정 없음</x:v>
      </x:c>
      <x:c r="L646" s="73" t="str"/>
      <x:c r="M646" s="73" t="str"/>
      <x:c r="N646" s="73" t="str"/>
      <x:c r="O646" s="73" t="str">
        <x:v>기대 결과와 일치</x:v>
      </x:c>
      <x:c r="P646" s="73" t="str">
        <x:v>08-audit-data-consistency.log, 09-validate-mock-data.log</x:v>
      </x:c>
    </x:row>
    <x:row r="647">
      <x:c r="A647" s="80" t="n">
        <x:v>643</x:v>
      </x:c>
      <x:c r="B647" s="81" t="str">
        <x:v>DATA-004</x:v>
      </x:c>
      <x:c r="C647" s="73" t="str">
        <x:v>10. API, 데이터 및 저장소 통합 테스트</x:v>
      </x:c>
      <x:c r="D647" s="81" t="str">
        <x:v>P0</x:v>
      </x:c>
      <x:c r="E647" s="73" t="str"/>
      <x:c r="F647" s="73" t="str"/>
      <x:c r="G647" s="73" t="str">
        <x:v>부가서비스 합계</x:v>
      </x:c>
      <x:c r="H647" s="73" t="str">
        <x:v>카테고리·객실·단체·Folio 합계 일치</x:v>
      </x:c>
      <x:c r="I647" s="81" t="str">
        <x:v>PASS</x:v>
      </x:c>
      <x:c r="J647" s="81" t="str">
        <x:v>성공</x:v>
      </x:c>
      <x:c r="K647" s="81" t="str">
        <x:v>수정 없음</x:v>
      </x:c>
      <x:c r="L647" s="73" t="str"/>
      <x:c r="M647" s="73" t="str"/>
      <x:c r="N647" s="73" t="str"/>
      <x:c r="O647" s="73" t="str">
        <x:v>기대 결과와 일치</x:v>
      </x:c>
      <x:c r="P647" s="73" t="str">
        <x:v>08-audit-data-consistency.log, 09-validate-mock-data.log</x:v>
      </x:c>
    </x:row>
    <x:row r="648">
      <x:c r="A648" s="80" t="n">
        <x:v>644</x:v>
      </x:c>
      <x:c r="B648" s="81" t="str">
        <x:v>DATA-005</x:v>
      </x:c>
      <x:c r="C648" s="73" t="str">
        <x:v>10. API, 데이터 및 저장소 통합 테스트</x:v>
      </x:c>
      <x:c r="D648" s="81" t="str">
        <x:v>P0</x:v>
      </x:c>
      <x:c r="E648" s="73" t="str"/>
      <x:c r="F648" s="73" t="str"/>
      <x:c r="G648" s="73" t="str">
        <x:v>정산 합계</x:v>
      </x:c>
      <x:c r="H648" s="73" t="str">
        <x:v>청구 = 수납 + 잔액 + 환불 조정 관계 성립</x:v>
      </x:c>
      <x:c r="I648" s="81" t="str">
        <x:v>PASS</x:v>
      </x:c>
      <x:c r="J648" s="81" t="str">
        <x:v>성공</x:v>
      </x:c>
      <x:c r="K648" s="81" t="str">
        <x:v>수정 없음</x:v>
      </x:c>
      <x:c r="L648" s="73" t="str"/>
      <x:c r="M648" s="73" t="str"/>
      <x:c r="N648" s="73" t="str"/>
      <x:c r="O648" s="73" t="str">
        <x:v>기대 결과와 일치</x:v>
      </x:c>
      <x:c r="P648" s="73" t="str">
        <x:v>08-audit-data-consistency.log, 09-validate-mock-data.log</x:v>
      </x:c>
    </x:row>
    <x:row r="649">
      <x:c r="A649" s="80" t="n">
        <x:v>645</x:v>
      </x:c>
      <x:c r="B649" s="81" t="str">
        <x:v>DATA-006</x:v>
      </x:c>
      <x:c r="C649" s="73" t="str">
        <x:v>10. API, 데이터 및 저장소 통합 테스트</x:v>
      </x:c>
      <x:c r="D649" s="81" t="str">
        <x:v>P0</x:v>
      </x:c>
      <x:c r="E649" s="73" t="str"/>
      <x:c r="F649" s="73" t="str"/>
      <x:c r="G649" s="73" t="str">
        <x:v>통화 데이터</x:v>
      </x:c>
      <x:c r="H649" s="73" t="str">
        <x:v>서로 다른 통화를 무환산 합산하지 않음</x:v>
      </x:c>
      <x:c r="I649" s="81" t="str">
        <x:v>PASS</x:v>
      </x:c>
      <x:c r="J649" s="81" t="str">
        <x:v>성공</x:v>
      </x:c>
      <x:c r="K649" s="81" t="str">
        <x:v>수정 없음</x:v>
      </x:c>
      <x:c r="L649" s="73" t="str"/>
      <x:c r="M649" s="73" t="str"/>
      <x:c r="N649" s="73" t="str"/>
      <x:c r="O649" s="73" t="str">
        <x:v>기대 결과와 일치</x:v>
      </x:c>
      <x:c r="P649" s="73" t="str">
        <x:v>08-audit-data-consistency.log, 09-validate-mock-data.log</x:v>
      </x:c>
    </x:row>
    <x:row r="650">
      <x:c r="A650" s="80" t="n">
        <x:v>646</x:v>
      </x:c>
      <x:c r="B650" s="81" t="str">
        <x:v>DATA-007</x:v>
      </x:c>
      <x:c r="C650" s="73" t="str">
        <x:v>10. API, 데이터 및 저장소 통합 테스트</x:v>
      </x:c>
      <x:c r="D650" s="81" t="str">
        <x:v>P0</x:v>
      </x:c>
      <x:c r="E650" s="73" t="str"/>
      <x:c r="F650" s="73" t="str"/>
      <x:c r="G650" s="73" t="str">
        <x:v>단체 통계</x:v>
      </x:c>
      <x:c r="H650" s="73" t="str">
        <x:v>방문/객실/숙박일/객실금액/서비스/총액 원천 일치</x:v>
      </x:c>
      <x:c r="I650" s="81" t="str">
        <x:v>PASS</x:v>
      </x:c>
      <x:c r="J650" s="81" t="str">
        <x:v>성공</x:v>
      </x:c>
      <x:c r="K650" s="81" t="str">
        <x:v>수정 없음</x:v>
      </x:c>
      <x:c r="L650" s="73" t="str"/>
      <x:c r="M650" s="73" t="str"/>
      <x:c r="N650" s="73" t="str"/>
      <x:c r="O650" s="73" t="str">
        <x:v>기대 결과와 일치</x:v>
      </x:c>
      <x:c r="P650" s="73" t="str">
        <x:v>08-audit-data-consistency.log, 09-validate-mock-data.log</x:v>
      </x:c>
    </x:row>
    <x:row r="651">
      <x:c r="A651" s="80" t="n">
        <x:v>647</x:v>
      </x:c>
      <x:c r="B651" s="81" t="str">
        <x:v>DATA-008</x:v>
      </x:c>
      <x:c r="C651" s="73" t="str">
        <x:v>10. API, 데이터 및 저장소 통합 테스트</x:v>
      </x:c>
      <x:c r="D651" s="81" t="str">
        <x:v>P0</x:v>
      </x:c>
      <x:c r="E651" s="73" t="str"/>
      <x:c r="F651" s="73" t="str"/>
      <x:c r="G651" s="73" t="str">
        <x:v>감사 로그</x:v>
      </x:c>
      <x:c r="H651" s="73" t="str">
        <x:v>민감 상태 전환과 주요 CRUD가 누락·중복 없이 기록</x:v>
      </x:c>
      <x:c r="I651" s="81" t="str">
        <x:v>PASS</x:v>
      </x:c>
      <x:c r="J651" s="81" t="str">
        <x:v>성공</x:v>
      </x:c>
      <x:c r="K651" s="81" t="str">
        <x:v>수정 없음</x:v>
      </x:c>
      <x:c r="L651" s="73" t="str"/>
      <x:c r="M651" s="73" t="str"/>
      <x:c r="N651" s="73" t="str"/>
      <x:c r="O651" s="73" t="str">
        <x:v>기대 결과와 일치</x:v>
      </x:c>
      <x:c r="P651" s="73" t="str">
        <x:v>08-audit-data-consistency.log, 09-validate-mock-data.log</x:v>
      </x:c>
    </x:row>
    <x:row r="652">
      <x:c r="A652" s="80" t="n">
        <x:v>648</x:v>
      </x:c>
      <x:c r="B652" s="81" t="str">
        <x:v>DATA-009</x:v>
      </x:c>
      <x:c r="C652" s="73" t="str">
        <x:v>10. API, 데이터 및 저장소 통합 테스트</x:v>
      </x:c>
      <x:c r="D652" s="81" t="str">
        <x:v>P1</x:v>
      </x:c>
      <x:c r="E652" s="73" t="str"/>
      <x:c r="F652" s="73" t="str"/>
      <x:c r="G652" s="73" t="str">
        <x:v>언어 전환 데이터</x:v>
      </x:c>
      <x:c r="H652" s="73" t="str">
        <x:v>사용자 입력/고유명/메모를 자동 번역하거나 변형하지 않음</x:v>
      </x:c>
      <x:c r="I652" s="81" t="str">
        <x:v>PASS</x:v>
      </x:c>
      <x:c r="J652" s="81" t="str">
        <x:v>성공</x:v>
      </x:c>
      <x:c r="K652" s="81" t="str">
        <x:v>수정 없음</x:v>
      </x:c>
      <x:c r="L652" s="73" t="str"/>
      <x:c r="M652" s="73" t="str"/>
      <x:c r="N652" s="73" t="str"/>
      <x:c r="O652" s="73" t="str">
        <x:v>기대 결과와 일치</x:v>
      </x:c>
      <x:c r="P652" s="73" t="str">
        <x:v>08-audit-data-consistency.log, 09-validate-mock-data.log</x:v>
      </x:c>
    </x:row>
    <x:row r="653">
      <x:c r="A653" s="80" t="n">
        <x:v>649</x:v>
      </x:c>
      <x:c r="B653" s="81" t="str">
        <x:v>DATA-010</x:v>
      </x:c>
      <x:c r="C653" s="73" t="str">
        <x:v>10. API, 데이터 및 저장소 통합 테스트</x:v>
      </x:c>
      <x:c r="D653" s="81" t="str">
        <x:v>P1</x:v>
      </x:c>
      <x:c r="E653" s="73" t="str"/>
      <x:c r="F653" s="73" t="str"/>
      <x:c r="G653" s="73" t="str">
        <x:v>새로고침/재로그인</x:v>
      </x:c>
      <x:c r="H653" s="73" t="str">
        <x:v>저장 상태가 메모리 초기값으로 되돌아가지 않음</x:v>
      </x:c>
      <x:c r="I653" s="81" t="str">
        <x:v>PASS</x:v>
      </x:c>
      <x:c r="J653" s="81" t="str">
        <x:v>성공</x:v>
      </x:c>
      <x:c r="K653" s="81" t="str">
        <x:v>수정 없음</x:v>
      </x:c>
      <x:c r="L653" s="73" t="str"/>
      <x:c r="M653" s="73" t="str"/>
      <x:c r="N653" s="73" t="str"/>
      <x:c r="O653" s="73" t="str">
        <x:v>기대 결과와 일치</x:v>
      </x:c>
      <x:c r="P653" s="73" t="str">
        <x:v>08-audit-data-consistency.log, 09-validate-mock-data.log</x:v>
      </x:c>
    </x:row>
    <x:row r="654">
      <x:c r="A654" s="80" t="n">
        <x:v>650</x:v>
      </x:c>
      <x:c r="B654" s="81" t="str">
        <x:v>I18N-001</x:v>
      </x:c>
      <x:c r="C654" s="73" t="str">
        <x:v>11. 다국어 전수 테스트</x:v>
      </x:c>
      <x:c r="D654" s="81" t="str">
        <x:v>P0</x:v>
      </x:c>
      <x:c r="E654" s="73" t="str"/>
      <x:c r="F654" s="73" t="str"/>
      <x:c r="G654" s="73" t="str">
        <x:v>KO 냉간 로드 전 페이지</x:v>
      </x:c>
      <x:c r="H654" s="73" t="str">
        <x:v>첫 프레임부터 한국어, 번역 키/영어 fallback 없음</x:v>
      </x:c>
      <x:c r="I654" s="81" t="str">
        <x:v>PASS</x:v>
      </x:c>
      <x:c r="J654" s="81" t="str">
        <x:v>성공</x:v>
      </x:c>
      <x:c r="K654" s="81" t="str">
        <x:v>수정 없음</x:v>
      </x:c>
      <x:c r="L654" s="73" t="str"/>
      <x:c r="M654" s="73" t="str"/>
      <x:c r="N654" s="73" t="str"/>
      <x:c r="O654" s="73" t="str">
        <x:v>기대 결과와 일치</x:v>
      </x:c>
      <x:c r="P654" s="73" t="str">
        <x:v>outputs/full-plan-20260719/77-i18n.log</x:v>
      </x:c>
    </x:row>
    <x:row r="655">
      <x:c r="A655" s="80" t="n">
        <x:v>651</x:v>
      </x:c>
      <x:c r="B655" s="81" t="str">
        <x:v>I18N-002</x:v>
      </x:c>
      <x:c r="C655" s="73" t="str">
        <x:v>11. 다국어 전수 테스트</x:v>
      </x:c>
      <x:c r="D655" s="81" t="str">
        <x:v>P0</x:v>
      </x:c>
      <x:c r="E655" s="73" t="str"/>
      <x:c r="F655" s="73" t="str"/>
      <x:c r="G655" s="73" t="str">
        <x:v>EN 냉간 로드 전 페이지</x:v>
      </x:c>
      <x:c r="H655" s="73" t="str">
        <x:v>첫 프레임부터 영어, 한글 깜박임/혼용 없음</x:v>
      </x:c>
      <x:c r="I655" s="81" t="str">
        <x:v>PASS</x:v>
      </x:c>
      <x:c r="J655" s="81" t="str">
        <x:v>성공</x:v>
      </x:c>
      <x:c r="K655" s="81" t="str">
        <x:v>수정 없음</x:v>
      </x:c>
      <x:c r="L655" s="73" t="str"/>
      <x:c r="M655" s="73" t="str"/>
      <x:c r="N655" s="73" t="str"/>
      <x:c r="O655" s="73" t="str">
        <x:v>기대 결과와 일치</x:v>
      </x:c>
      <x:c r="P655" s="73" t="str">
        <x:v>outputs/full-plan-20260719/77-i18n.log</x:v>
      </x:c>
    </x:row>
    <x:row r="656">
      <x:c r="A656" s="80" t="n">
        <x:v>652</x:v>
      </x:c>
      <x:c r="B656" s="81" t="str">
        <x:v>I18N-003</x:v>
      </x:c>
      <x:c r="C656" s="73" t="str">
        <x:v>11. 다국어 전수 테스트</x:v>
      </x:c>
      <x:c r="D656" s="81" t="str">
        <x:v>P0</x:v>
      </x:c>
      <x:c r="E656" s="73" t="str"/>
      <x:c r="F656" s="73" t="str"/>
      <x:c r="G656" s="73" t="str">
        <x:v>KO→EN→KO 전 메뉴 순회</x:v>
      </x:c>
      <x:c r="H656" s="73" t="str">
        <x:v>메뉴/타이틀/헤더/브라우저 title이 즉시 일치</x:v>
      </x:c>
      <x:c r="I656" s="81" t="str">
        <x:v>PASS</x:v>
      </x:c>
      <x:c r="J656" s="81" t="str">
        <x:v>성공</x:v>
      </x:c>
      <x:c r="K656" s="81" t="str">
        <x:v>수정 없음</x:v>
      </x:c>
      <x:c r="L656" s="73" t="str"/>
      <x:c r="M656" s="73" t="str"/>
      <x:c r="N656" s="73" t="str"/>
      <x:c r="O656" s="73" t="str">
        <x:v>기대 결과와 일치</x:v>
      </x:c>
      <x:c r="P656" s="73" t="str">
        <x:v>outputs/full-plan-20260719/77-i18n.log</x:v>
      </x:c>
    </x:row>
    <x:row r="657">
      <x:c r="A657" s="80" t="n">
        <x:v>653</x:v>
      </x:c>
      <x:c r="B657" s="81" t="str">
        <x:v>I18N-004</x:v>
      </x:c>
      <x:c r="C657" s="73" t="str">
        <x:v>11. 다국어 전수 테스트</x:v>
      </x:c>
      <x:c r="D657" s="81" t="str">
        <x:v>P0</x:v>
      </x:c>
      <x:c r="E657" s="73" t="str"/>
      <x:c r="F657" s="73" t="str"/>
      <x:c r="G657" s="73" t="str">
        <x:v>각 페이지 팝업 전부 열기</x:v>
      </x:c>
      <x:c r="H657" s="73" t="str">
        <x:v>제목/필드/placeholder/select/버튼/검증문구 번역</x:v>
      </x:c>
      <x:c r="I657" s="81" t="str">
        <x:v>PASS</x:v>
      </x:c>
      <x:c r="J657" s="81" t="str">
        <x:v>성공</x:v>
      </x:c>
      <x:c r="K657" s="81" t="str">
        <x:v>수정 없음</x:v>
      </x:c>
      <x:c r="L657" s="73" t="str"/>
      <x:c r="M657" s="73" t="str"/>
      <x:c r="N657" s="73" t="str"/>
      <x:c r="O657" s="73" t="str">
        <x:v>기대 결과와 일치</x:v>
      </x:c>
      <x:c r="P657" s="73" t="str">
        <x:v>outputs/full-plan-20260719/77-i18n.log</x:v>
      </x:c>
    </x:row>
    <x:row r="658">
      <x:c r="A658" s="80" t="n">
        <x:v>654</x:v>
      </x:c>
      <x:c r="B658" s="81" t="str">
        <x:v>I18N-005</x:v>
      </x:c>
      <x:c r="C658" s="73" t="str">
        <x:v>11. 다국어 전수 테스트</x:v>
      </x:c>
      <x:c r="D658" s="81" t="str">
        <x:v>P0</x:v>
      </x:c>
      <x:c r="E658" s="73" t="str"/>
      <x:c r="F658" s="73" t="str"/>
      <x:c r="G658" s="73" t="str">
        <x:v>동적 렌더/필터/페이지 이동</x:v>
      </x:c>
      <x:c r="H658" s="73" t="str">
        <x:v>재렌더 후에도 선택 언어 유지</x:v>
      </x:c>
      <x:c r="I658" s="81" t="str">
        <x:v>PASS</x:v>
      </x:c>
      <x:c r="J658" s="81" t="str">
        <x:v>성공</x:v>
      </x:c>
      <x:c r="K658" s="81" t="str">
        <x:v>수정 없음</x:v>
      </x:c>
      <x:c r="L658" s="73" t="str"/>
      <x:c r="M658" s="73" t="str"/>
      <x:c r="N658" s="73" t="str"/>
      <x:c r="O658" s="73" t="str">
        <x:v>기대 결과와 일치</x:v>
      </x:c>
      <x:c r="P658" s="73" t="str">
        <x:v>outputs/full-plan-20260719/77-i18n.log</x:v>
      </x:c>
    </x:row>
    <x:row r="659">
      <x:c r="A659" s="80" t="n">
        <x:v>655</x:v>
      </x:c>
      <x:c r="B659" s="81" t="str">
        <x:v>I18N-006</x:v>
      </x:c>
      <x:c r="C659" s="73" t="str">
        <x:v>11. 다국어 전수 테스트</x:v>
      </x:c>
      <x:c r="D659" s="81" t="str">
        <x:v>P0</x:v>
      </x:c>
      <x:c r="E659" s="73" t="str"/>
      <x:c r="F659" s="73" t="str"/>
      <x:c r="G659" s="73" t="str">
        <x:v>날짜/시간 picker</x:v>
      </x:c>
      <x:c r="H659" s="73" t="str">
        <x:v>locale 표기와 placeholder에 다른 언어 없음</x:v>
      </x:c>
      <x:c r="I659" s="81" t="str">
        <x:v>PASS</x:v>
      </x:c>
      <x:c r="J659" s="81" t="str">
        <x:v>성공</x:v>
      </x:c>
      <x:c r="K659" s="81" t="str">
        <x:v>수정 없음</x:v>
      </x:c>
      <x:c r="L659" s="73" t="str"/>
      <x:c r="M659" s="73" t="str"/>
      <x:c r="N659" s="73" t="str"/>
      <x:c r="O659" s="73" t="str">
        <x:v>기대 결과와 일치</x:v>
      </x:c>
      <x:c r="P659" s="73" t="str">
        <x:v>outputs/full-plan-20260719/77-i18n.log</x:v>
      </x:c>
    </x:row>
    <x:row r="660">
      <x:c r="A660" s="80" t="n">
        <x:v>656</x:v>
      </x:c>
      <x:c r="B660" s="81" t="str">
        <x:v>I18N-007</x:v>
      </x:c>
      <x:c r="C660" s="73" t="str">
        <x:v>11. 다국어 전수 테스트</x:v>
      </x:c>
      <x:c r="D660" s="81" t="str">
        <x:v>P0</x:v>
      </x:c>
      <x:c r="E660" s="73" t="str"/>
      <x:c r="F660" s="73" t="str"/>
      <x:c r="G660" s="73" t="str">
        <x:v>시스템 생성 로그/상태명</x:v>
      </x:c>
      <x:c r="H660" s="73" t="str">
        <x:v>현재 언어로 번역 가능하고 사용자 입력은 원문</x:v>
      </x:c>
      <x:c r="I660" s="81" t="str">
        <x:v>PASS</x:v>
      </x:c>
      <x:c r="J660" s="81" t="str">
        <x:v>성공</x:v>
      </x:c>
      <x:c r="K660" s="81" t="str">
        <x:v>수정 없음</x:v>
      </x:c>
      <x:c r="L660" s="73" t="str"/>
      <x:c r="M660" s="73" t="str"/>
      <x:c r="N660" s="73" t="str"/>
      <x:c r="O660" s="73" t="str">
        <x:v>기대 결과와 일치</x:v>
      </x:c>
      <x:c r="P660" s="73" t="str">
        <x:v>outputs/full-plan-20260719/77-i18n.log</x:v>
      </x:c>
    </x:row>
    <x:row r="661">
      <x:c r="A661" s="80" t="n">
        <x:v>657</x:v>
      </x:c>
      <x:c r="B661" s="81" t="str">
        <x:v>I18N-008</x:v>
      </x:c>
      <x:c r="C661" s="73" t="str">
        <x:v>11. 다국어 전수 테스트</x:v>
      </x:c>
      <x:c r="D661" s="81" t="str">
        <x:v>P0</x:v>
      </x:c>
      <x:c r="E661" s="73" t="str"/>
      <x:c r="F661" s="73" t="str"/>
      <x:c r="G661" s="73" t="str">
        <x:v>사용자 입력 고유명</x:v>
      </x:c>
      <x:c r="H661" s="73" t="str">
        <x:v>업체명/그룹명/고객명/메모를 임의 번역하지 않음</x:v>
      </x:c>
      <x:c r="I661" s="81" t="str">
        <x:v>PASS</x:v>
      </x:c>
      <x:c r="J661" s="81" t="str">
        <x:v>성공</x:v>
      </x:c>
      <x:c r="K661" s="81" t="str">
        <x:v>수정 없음</x:v>
      </x:c>
      <x:c r="L661" s="73" t="str"/>
      <x:c r="M661" s="73" t="str"/>
      <x:c r="N661" s="73" t="str"/>
      <x:c r="O661" s="73" t="str">
        <x:v>기대 결과와 일치</x:v>
      </x:c>
      <x:c r="P661" s="73" t="str">
        <x:v>outputs/full-plan-20260719/77-i18n.log</x:v>
      </x:c>
    </x:row>
    <x:row r="662">
      <x:c r="A662" s="80" t="n">
        <x:v>658</x:v>
      </x:c>
      <x:c r="B662" s="81" t="str">
        <x:v>I18N-009</x:v>
      </x:c>
      <x:c r="C662" s="73" t="str">
        <x:v>11. 다국어 전수 테스트</x:v>
      </x:c>
      <x:c r="D662" s="81" t="str">
        <x:v>P1</x:v>
      </x:c>
      <x:c r="E662" s="73" t="str"/>
      <x:c r="F662" s="73" t="str"/>
      <x:c r="G662" s="73" t="str">
        <x:v>영어 긴 라벨</x:v>
      </x:c>
      <x:c r="H662" s="73" t="str">
        <x:v>버튼/필터/카드 폭을 넘지 않고 축약 의미 명확</x:v>
      </x:c>
      <x:c r="I662" s="81" t="str">
        <x:v>PASS</x:v>
      </x:c>
      <x:c r="J662" s="81" t="str">
        <x:v>성공</x:v>
      </x:c>
      <x:c r="K662" s="81" t="str">
        <x:v>수정 없음</x:v>
      </x:c>
      <x:c r="L662" s="73" t="str"/>
      <x:c r="M662" s="73" t="str"/>
      <x:c r="N662" s="73" t="str"/>
      <x:c r="O662" s="73" t="str">
        <x:v>기대 결과와 일치</x:v>
      </x:c>
      <x:c r="P662" s="73" t="str">
        <x:v>outputs/full-plan-20260719/77-i18n.log</x:v>
      </x:c>
    </x:row>
    <x:row r="663">
      <x:c r="A663" s="80" t="n">
        <x:v>659</x:v>
      </x:c>
      <x:c r="B663" s="81" t="str">
        <x:v>I18N-010</x:v>
      </x:c>
      <x:c r="C663" s="73" t="str">
        <x:v>11. 다국어 전수 테스트</x:v>
      </x:c>
      <x:c r="D663" s="81" t="str">
        <x:v>P1</x:v>
      </x:c>
      <x:c r="E663" s="73" t="str"/>
      <x:c r="F663" s="73" t="str"/>
      <x:c r="G663" s="73" t="str">
        <x:v>직접 URL/새 탭/새로고침</x:v>
      </x:c>
      <x:c r="H663" s="73" t="str">
        <x:v>저장 언어와 문서 title 유지</x:v>
      </x:c>
      <x:c r="I663" s="81" t="str">
        <x:v>PASS</x:v>
      </x:c>
      <x:c r="J663" s="81" t="str">
        <x:v>성공</x:v>
      </x:c>
      <x:c r="K663" s="81" t="str">
        <x:v>수정 없음</x:v>
      </x:c>
      <x:c r="L663" s="73" t="str"/>
      <x:c r="M663" s="73" t="str"/>
      <x:c r="N663" s="73" t="str"/>
      <x:c r="O663" s="73" t="str">
        <x:v>기대 결과와 일치</x:v>
      </x:c>
      <x:c r="P663" s="73" t="str">
        <x:v>outputs/full-plan-20260719/77-i18n.log</x:v>
      </x:c>
    </x:row>
    <x:row r="664">
      <x:c r="A664" s="80" t="n">
        <x:v>660</x:v>
      </x:c>
      <x:c r="B664" s="81" t="str">
        <x:v>I18N-011</x:v>
      </x:c>
      <x:c r="C664" s="73" t="str">
        <x:v>11. 다국어 전수 테스트</x:v>
      </x:c>
      <x:c r="D664" s="81" t="str">
        <x:v>P1</x:v>
      </x:c>
      <x:c r="E664" s="73" t="str"/>
      <x:c r="F664" s="73" t="str"/>
      <x:c r="G664" s="73" t="str">
        <x:v>빈/오류/확인/토스트</x:v>
      </x:c>
      <x:c r="H664" s="73" t="str">
        <x:v>모든 시스템 메시지가 현재 언어</x:v>
      </x:c>
      <x:c r="I664" s="81" t="str">
        <x:v>PASS</x:v>
      </x:c>
      <x:c r="J664" s="81" t="str">
        <x:v>성공</x:v>
      </x:c>
      <x:c r="K664" s="81" t="str">
        <x:v>수정 없음</x:v>
      </x:c>
      <x:c r="L664" s="73" t="str"/>
      <x:c r="M664" s="73" t="str"/>
      <x:c r="N664" s="73" t="str"/>
      <x:c r="O664" s="73" t="str">
        <x:v>기대 결과와 일치</x:v>
      </x:c>
      <x:c r="P664" s="73" t="str">
        <x:v>outputs/full-plan-20260719/77-i18n.log</x:v>
      </x:c>
    </x:row>
    <x:row r="665">
      <x:c r="A665" s="80" t="n">
        <x:v>661</x:v>
      </x:c>
      <x:c r="B665" s="81" t="str">
        <x:v>I18N-012</x:v>
      </x:c>
      <x:c r="C665" s="73" t="str">
        <x:v>11. 다국어 전수 테스트</x:v>
      </x:c>
      <x:c r="D665" s="81" t="str">
        <x:v>P1</x:v>
      </x:c>
      <x:c r="E665" s="73" t="str"/>
      <x:c r="F665" s="73" t="str"/>
      <x:c r="G665" s="73" t="str">
        <x:v>다운로드/인쇄</x:v>
      </x:c>
      <x:c r="H665" s="73" t="str">
        <x:v>열 제목/문서 제목/날짜가 현재 언어</x:v>
      </x:c>
      <x:c r="I665" s="81" t="str">
        <x:v>BLOCKED</x:v>
      </x:c>
      <x:c r="J665" s="81" t="str">
        <x:v>차단</x:v>
      </x:c>
      <x:c r="K665" s="81" t="str">
        <x:v>검증 차단</x:v>
      </x:c>
      <x:c r="L665" s="73" t="str"/>
      <x:c r="M665" s="73" t="str">
        <x:v>실제 Excel·인쇄 응용프로그램의 최종 렌더링은 브라우저 테스트로 확인할 수 없음</x:v>
      </x:c>
      <x:c r="N665" s="73" t="str"/>
      <x:c r="O665" s="73" t="str">
        <x:v>화면·데이터·브라우저 단계까지 확인했으나 외부 앱 검증은 외부 환경이 필요함</x:v>
      </x:c>
      <x:c r="P665" s="73" t="str">
        <x:v>outputs/full-plan-20260719/77-i18n.log</x:v>
      </x:c>
    </x:row>
    <x:row r="666">
      <x:c r="A666" s="80" t="n">
        <x:v>662</x:v>
      </x:c>
      <x:c r="B666" s="81" t="str">
        <x:v>RESP-001</x:v>
      </x:c>
      <x:c r="C666" s="73" t="str">
        <x:v>12. 반응형 및 상호작용 전수 테스트</x:v>
      </x:c>
      <x:c r="D666" s="81" t="str">
        <x:v>P0</x:v>
      </x:c>
      <x:c r="E666" s="73" t="str"/>
      <x:c r="F666" s="73" t="str"/>
      <x:c r="G666" s="73" t="str">
        <x:v>1440×900 전 페이지 캡처</x:v>
      </x:c>
      <x:c r="H666" s="73" t="str">
        <x:v>겹침/잘림/불필요한 가로 스크롤 없음</x:v>
      </x:c>
      <x:c r="I666" s="81" t="str">
        <x:v>PASS</x:v>
      </x:c>
      <x:c r="J666" s="81" t="str">
        <x:v>성공</x:v>
      </x:c>
      <x:c r="K666" s="81" t="str">
        <x:v>수정 없음</x:v>
      </x:c>
      <x:c r="L666" s="73" t="str"/>
      <x:c r="M666" s="73" t="str"/>
      <x:c r="N666" s="73" t="str"/>
      <x:c r="O666" s="73" t="str">
        <x:v>기대 결과와 일치</x:v>
      </x:c>
      <x:c r="P666" s="73" t="str">
        <x:v>outputs/full-plan-20260719/78-visual.log</x:v>
      </x:c>
    </x:row>
    <x:row r="667">
      <x:c r="A667" s="80" t="n">
        <x:v>663</x:v>
      </x:c>
      <x:c r="B667" s="81" t="str">
        <x:v>RESP-002</x:v>
      </x:c>
      <x:c r="C667" s="73" t="str">
        <x:v>12. 반응형 및 상호작용 전수 테스트</x:v>
      </x:c>
      <x:c r="D667" s="81" t="str">
        <x:v>P0</x:v>
      </x:c>
      <x:c r="E667" s="73" t="str"/>
      <x:c r="F667" s="73" t="str"/>
      <x:c r="G667" s="73" t="str">
        <x:v>1024×1366 전 페이지 캡처</x:v>
      </x:c>
      <x:c r="H667" s="73" t="str">
        <x:v>태블릿에서 핵심 업무와 팝업 액션 가능</x:v>
      </x:c>
      <x:c r="I667" s="81" t="str">
        <x:v>PASS</x:v>
      </x:c>
      <x:c r="J667" s="81" t="str">
        <x:v>성공</x:v>
      </x:c>
      <x:c r="K667" s="81" t="str">
        <x:v>수정 없음</x:v>
      </x:c>
      <x:c r="L667" s="73" t="str"/>
      <x:c r="M667" s="73" t="str"/>
      <x:c r="N667" s="73" t="str"/>
      <x:c r="O667" s="73" t="str">
        <x:v>기대 결과와 일치</x:v>
      </x:c>
      <x:c r="P667" s="73" t="str">
        <x:v>outputs/full-plan-20260719/78-visual.log</x:v>
      </x:c>
    </x:row>
    <x:row r="668">
      <x:c r="A668" s="80" t="n">
        <x:v>664</x:v>
      </x:c>
      <x:c r="B668" s="81" t="str">
        <x:v>RESP-003</x:v>
      </x:c>
      <x:c r="C668" s="73" t="str">
        <x:v>12. 반응형 및 상호작용 전수 테스트</x:v>
      </x:c>
      <x:c r="D668" s="81" t="str">
        <x:v>P0</x:v>
      </x:c>
      <x:c r="E668" s="73" t="str"/>
      <x:c r="F668" s="73" t="str"/>
      <x:c r="G668" s="73" t="str">
        <x:v>412×915 전 페이지 캡처</x:v>
      </x:c>
      <x:c r="H668" s="73" t="str">
        <x:v>모바일에서 메뉴/폼/팝업/하단 버튼 접근 가능</x:v>
      </x:c>
      <x:c r="I668" s="81" t="str">
        <x:v>PASS</x:v>
      </x:c>
      <x:c r="J668" s="81" t="str">
        <x:v>성공</x:v>
      </x:c>
      <x:c r="K668" s="81" t="str">
        <x:v>수정 없음</x:v>
      </x:c>
      <x:c r="L668" s="73" t="str"/>
      <x:c r="M668" s="73" t="str"/>
      <x:c r="N668" s="73" t="str"/>
      <x:c r="O668" s="73" t="str">
        <x:v>기대 결과와 일치</x:v>
      </x:c>
      <x:c r="P668" s="73" t="str">
        <x:v>outputs/full-plan-20260719/78-visual.log</x:v>
      </x:c>
    </x:row>
    <x:row r="669">
      <x:c r="A669" s="80" t="n">
        <x:v>665</x:v>
      </x:c>
      <x:c r="B669" s="81" t="str">
        <x:v>RESP-004</x:v>
      </x:c>
      <x:c r="C669" s="73" t="str">
        <x:v>12. 반응형 및 상호작용 전수 테스트</x:v>
      </x:c>
      <x:c r="D669" s="81" t="str">
        <x:v>P0</x:v>
      </x:c>
      <x:c r="E669" s="73" t="str"/>
      <x:c r="F669" s="73" t="str"/>
      <x:c r="G669" s="73" t="str">
        <x:v>360×800 전 페이지 캡처</x:v>
      </x:c>
      <x:c r="H669" s="73" t="str">
        <x:v>최저 폭에서 텍스트와 숫자 잘림 없음</x:v>
      </x:c>
      <x:c r="I669" s="81" t="str">
        <x:v>PASS</x:v>
      </x:c>
      <x:c r="J669" s="81" t="str">
        <x:v>성공</x:v>
      </x:c>
      <x:c r="K669" s="81" t="str">
        <x:v>수정 없음</x:v>
      </x:c>
      <x:c r="L669" s="73" t="str"/>
      <x:c r="M669" s="73" t="str"/>
      <x:c r="N669" s="73" t="str"/>
      <x:c r="O669" s="73" t="str">
        <x:v>기대 결과와 일치</x:v>
      </x:c>
      <x:c r="P669" s="73" t="str">
        <x:v>outputs/full-plan-20260719/78-visual.log</x:v>
      </x:c>
    </x:row>
    <x:row r="670">
      <x:c r="A670" s="80" t="n">
        <x:v>666</x:v>
      </x:c>
      <x:c r="B670" s="81" t="str">
        <x:v>RESP-005</x:v>
      </x:c>
      <x:c r="C670" s="73" t="str">
        <x:v>12. 반응형 및 상호작용 전수 테스트</x:v>
      </x:c>
      <x:c r="D670" s="81" t="str">
        <x:v>P0</x:v>
      </x:c>
      <x:c r="E670" s="73" t="str"/>
      <x:c r="F670" s="73" t="str"/>
      <x:c r="G670" s="73" t="str">
        <x:v>모든 버튼 hover/focus/active</x:v>
      </x:c>
      <x:c r="H670" s="73" t="str">
        <x:v>위치·크기 변화와 깜박임 없음</x:v>
      </x:c>
      <x:c r="I670" s="81" t="str">
        <x:v>PASS</x:v>
      </x:c>
      <x:c r="J670" s="81" t="str">
        <x:v>성공</x:v>
      </x:c>
      <x:c r="K670" s="81" t="str">
        <x:v>수정 없음</x:v>
      </x:c>
      <x:c r="L670" s="73" t="str"/>
      <x:c r="M670" s="73" t="str"/>
      <x:c r="N670" s="73" t="str"/>
      <x:c r="O670" s="73" t="str">
        <x:v>기대 결과와 일치</x:v>
      </x:c>
      <x:c r="P670" s="73" t="str">
        <x:v>outputs/full-plan-20260719/78-visual.log</x:v>
      </x:c>
    </x:row>
    <x:row r="671">
      <x:c r="A671" s="80" t="n">
        <x:v>667</x:v>
      </x:c>
      <x:c r="B671" s="81" t="str">
        <x:v>RESP-006</x:v>
      </x:c>
      <x:c r="C671" s="73" t="str">
        <x:v>12. 반응형 및 상호작용 전수 테스트</x:v>
      </x:c>
      <x:c r="D671" s="81" t="str">
        <x:v>P0</x:v>
      </x:c>
      <x:c r="E671" s="73" t="str"/>
      <x:c r="F671" s="73" t="str"/>
      <x:c r="G671" s="73" t="str">
        <x:v>select/date/file 입력</x:v>
      </x:c>
      <x:c r="H671" s="73" t="str">
        <x:v>터치/키보드/마우스로 열고 선택 가능</x:v>
      </x:c>
      <x:c r="I671" s="81" t="str">
        <x:v>PASS</x:v>
      </x:c>
      <x:c r="J671" s="81" t="str">
        <x:v>성공</x:v>
      </x:c>
      <x:c r="K671" s="81" t="str">
        <x:v>수정 없음</x:v>
      </x:c>
      <x:c r="L671" s="73" t="str"/>
      <x:c r="M671" s="73" t="str"/>
      <x:c r="N671" s="73" t="str"/>
      <x:c r="O671" s="73" t="str">
        <x:v>기대 결과와 일치</x:v>
      </x:c>
      <x:c r="P671" s="73" t="str">
        <x:v>outputs/full-plan-20260719/78-visual.log</x:v>
      </x:c>
    </x:row>
    <x:row r="672">
      <x:c r="A672" s="80" t="n">
        <x:v>668</x:v>
      </x:c>
      <x:c r="B672" s="81" t="str">
        <x:v>RESP-007</x:v>
      </x:c>
      <x:c r="C672" s="73" t="str">
        <x:v>12. 반응형 및 상호작용 전수 테스트</x:v>
      </x:c>
      <x:c r="D672" s="81" t="str">
        <x:v>P0</x:v>
      </x:c>
      <x:c r="E672" s="73" t="str"/>
      <x:c r="F672" s="73" t="str"/>
      <x:c r="G672" s="73" t="str">
        <x:v>카드와 내부 버튼</x:v>
      </x:c>
      <x:c r="H672" s="73" t="str">
        <x:v>카드 상세 클릭과 액션 click 이벤트 충돌 없음</x:v>
      </x:c>
      <x:c r="I672" s="81" t="str">
        <x:v>PASS</x:v>
      </x:c>
      <x:c r="J672" s="81" t="str">
        <x:v>성공</x:v>
      </x:c>
      <x:c r="K672" s="81" t="str">
        <x:v>수정 없음</x:v>
      </x:c>
      <x:c r="L672" s="73" t="str"/>
      <x:c r="M672" s="73" t="str"/>
      <x:c r="N672" s="73" t="str"/>
      <x:c r="O672" s="73" t="str">
        <x:v>기대 결과와 일치</x:v>
      </x:c>
      <x:c r="P672" s="73" t="str">
        <x:v>outputs/full-plan-20260719/78-visual.log</x:v>
      </x:c>
    </x:row>
    <x:row r="673">
      <x:c r="A673" s="80" t="n">
        <x:v>669</x:v>
      </x:c>
      <x:c r="B673" s="81" t="str">
        <x:v>RESP-008</x:v>
      </x:c>
      <x:c r="C673" s="73" t="str">
        <x:v>12. 반응형 및 상호작용 전수 테스트</x:v>
      </x:c>
      <x:c r="D673" s="81" t="str">
        <x:v>P0</x:v>
      </x:c>
      <x:c r="E673" s="73" t="str"/>
      <x:c r="F673" s="73" t="str"/>
      <x:c r="G673" s="73" t="str">
        <x:v>긴 목록/모달 스크롤</x:v>
      </x:c>
      <x:c r="H673" s="73" t="str">
        <x:v>배경과 내부 스크롤 충돌, 하단 잘림 없음</x:v>
      </x:c>
      <x:c r="I673" s="81" t="str">
        <x:v>PASS</x:v>
      </x:c>
      <x:c r="J673" s="81" t="str">
        <x:v>성공</x:v>
      </x:c>
      <x:c r="K673" s="81" t="str">
        <x:v>수정 없음</x:v>
      </x:c>
      <x:c r="L673" s="73" t="str"/>
      <x:c r="M673" s="73" t="str"/>
      <x:c r="N673" s="73" t="str"/>
      <x:c r="O673" s="73" t="str">
        <x:v>기대 결과와 일치</x:v>
      </x:c>
      <x:c r="P673" s="73" t="str">
        <x:v>outputs/full-plan-20260719/78-visual.log</x:v>
      </x:c>
    </x:row>
    <x:row r="674">
      <x:c r="A674" s="80" t="n">
        <x:v>670</x:v>
      </x:c>
      <x:c r="B674" s="81" t="str">
        <x:v>RESP-009</x:v>
      </x:c>
      <x:c r="C674" s="73" t="str">
        <x:v>12. 반응형 및 상호작용 전수 테스트</x:v>
      </x:c>
      <x:c r="D674" s="81" t="str">
        <x:v>P1</x:v>
      </x:c>
      <x:c r="E674" s="73" t="str"/>
      <x:c r="F674" s="73" t="str"/>
      <x:c r="G674" s="73" t="str">
        <x:v>영어 긴 텍스트</x:v>
      </x:c>
      <x:c r="H674" s="73" t="str">
        <x:v>폰트 축소 없이 줄바꿈/라벨 축약/레이아웃 조정</x:v>
      </x:c>
      <x:c r="I674" s="81" t="str">
        <x:v>PASS</x:v>
      </x:c>
      <x:c r="J674" s="81" t="str">
        <x:v>성공</x:v>
      </x:c>
      <x:c r="K674" s="81" t="str">
        <x:v>수정 없음</x:v>
      </x:c>
      <x:c r="L674" s="73" t="str"/>
      <x:c r="M674" s="73" t="str"/>
      <x:c r="N674" s="73" t="str"/>
      <x:c r="O674" s="73" t="str">
        <x:v>기대 결과와 일치</x:v>
      </x:c>
      <x:c r="P674" s="73" t="str">
        <x:v>outputs/full-plan-20260719/78-visual.log</x:v>
      </x:c>
    </x:row>
    <x:row r="675">
      <x:c r="A675" s="80" t="n">
        <x:v>671</x:v>
      </x:c>
      <x:c r="B675" s="81" t="str">
        <x:v>RESP-010</x:v>
      </x:c>
      <x:c r="C675" s="73" t="str">
        <x:v>12. 반응형 및 상호작용 전수 테스트</x:v>
      </x:c>
      <x:c r="D675" s="81" t="str">
        <x:v>P1</x:v>
      </x:c>
      <x:c r="E675" s="73" t="str"/>
      <x:c r="F675" s="73" t="str"/>
      <x:c r="G675" s="73" t="str">
        <x:v>200% 확대/키보드 탐색</x:v>
      </x:c>
      <x:c r="H675" s="73" t="str">
        <x:v>포커스 표시, 순서, Enter/Space 동작 정상</x:v>
      </x:c>
      <x:c r="I675" s="81" t="str">
        <x:v>PASS</x:v>
      </x:c>
      <x:c r="J675" s="81" t="str">
        <x:v>성공</x:v>
      </x:c>
      <x:c r="K675" s="81" t="str">
        <x:v>수정 없음</x:v>
      </x:c>
      <x:c r="L675" s="73" t="str"/>
      <x:c r="M675" s="73" t="str"/>
      <x:c r="N675" s="73" t="str"/>
      <x:c r="O675" s="73" t="str">
        <x:v>기대 결과와 일치</x:v>
      </x:c>
      <x:c r="P675" s="73" t="str">
        <x:v>outputs/full-plan-20260719/78-visual.log</x:v>
      </x:c>
    </x:row>
    <x:row r="676">
      <x:c r="A676" s="80" t="n">
        <x:v>672</x:v>
      </x:c>
      <x:c r="B676" s="81" t="str">
        <x:v>RESP-011</x:v>
      </x:c>
      <x:c r="C676" s="73" t="str">
        <x:v>12. 반응형 및 상호작용 전수 테스트</x:v>
      </x:c>
      <x:c r="D676" s="81" t="str">
        <x:v>P1</x:v>
      </x:c>
      <x:c r="E676" s="73" t="str"/>
      <x:c r="F676" s="73" t="str"/>
      <x:c r="G676" s="73" t="str">
        <x:v>로딩 중 연속 클릭</x:v>
      </x:c>
      <x:c r="H676" s="73" t="str">
        <x:v>버튼 비활성/진행 표시, 중복 요청 없음</x:v>
      </x:c>
      <x:c r="I676" s="81" t="str">
        <x:v>PASS</x:v>
      </x:c>
      <x:c r="J676" s="81" t="str">
        <x:v>성공</x:v>
      </x:c>
      <x:c r="K676" s="81" t="str">
        <x:v>수정 없음</x:v>
      </x:c>
      <x:c r="L676" s="73" t="str"/>
      <x:c r="M676" s="73" t="str"/>
      <x:c r="N676" s="73" t="str"/>
      <x:c r="O676" s="73" t="str">
        <x:v>기대 결과와 일치</x:v>
      </x:c>
      <x:c r="P676" s="73" t="str">
        <x:v>outputs/full-plan-20260719/78-visual.log</x:v>
      </x:c>
    </x:row>
    <x:row r="677">
      <x:c r="A677" s="82" t="n">
        <x:v>673</x:v>
      </x:c>
      <x:c r="B677" s="83" t="str">
        <x:v>RESP-012</x:v>
      </x:c>
      <x:c r="C677" s="74" t="str">
        <x:v>12. 반응형 및 상호작용 전수 테스트</x:v>
      </x:c>
      <x:c r="D677" s="83" t="str">
        <x:v>P1</x:v>
      </x:c>
      <x:c r="E677" s="74" t="str"/>
      <x:c r="F677" s="74" t="str"/>
      <x:c r="G677" s="74" t="str">
        <x:v>모바일 select 반복 선택</x:v>
      </x:c>
      <x:c r="H677" s="74" t="str">
        <x:v>떨림·자동 닫힘·페이지 점프 없음</x:v>
      </x:c>
      <x:c r="I677" s="83" t="str">
        <x:v>PASS</x:v>
      </x:c>
      <x:c r="J677" s="83" t="str">
        <x:v>성공</x:v>
      </x:c>
      <x:c r="K677" s="83" t="str">
        <x:v>수정 없음</x:v>
      </x:c>
      <x:c r="L677" s="74" t="str"/>
      <x:c r="M677" s="74" t="str"/>
      <x:c r="N677" s="74" t="str"/>
      <x:c r="O677" s="74" t="str">
        <x:v>기대 결과와 일치</x:v>
      </x:c>
      <x:c r="P677" s="74" t="str">
        <x:v>outputs/full-plan-20260719/78-visual.log</x:v>
      </x:c>
    </x:row>
  </x:sheetData>
  <x:mergeCells>
    <x:mergeCell ref="A1:P1"/>
    <x:mergeCell ref="A2:P2"/>
  </x:mergeCells>
  <x:conditionalFormatting sqref="I5:I677">
    <x:cfRule type="containsText" dxfId="0" priority="1" operator="containsText" text="PASS"/>
    <x:cfRule type="containsText" dxfId="1" priority="2" operator="containsText" text="BLOCKED"/>
    <x:cfRule type="containsText" dxfId="2" priority="3" operator="containsText" text="FAIL"/>
  </x:conditionalFormatting>
  <x:conditionalFormatting sqref="K5:K677">
    <x:cfRule type="containsText" dxfId="3" priority="4" operator="containsText" text="수정 완료"/>
  </x:conditionalFormatting>
  <x:pageMargins left="0.7" right="0.7" top="0.75" bottom="0.75" header="0.3" footer="0.3"/>
  <x:tableParts count="1">
    <x:tablePart xmlns:r="http://schemas.openxmlformats.org/officeDocument/2006/relationships" r:id="Rba390c3fe17647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3.75" hidden="0" customWidth="1"/>
    <x:col min="3" max="3" width="27.5" hidden="0" customWidth="1"/>
    <x:col min="4" max="4" width="38.75" hidden="0" customWidth="1"/>
    <x:col min="5" max="5" width="48.75" hidden="0" customWidth="1"/>
    <x:col min="6" max="6" width="26.25" hidden="0" customWidth="1"/>
    <x:col min="7" max="7" width="36.25" hidden="0" customWidth="1"/>
  </x:cols>
  <x:sheetData>
    <x:row r="1" ht="33" customHeight="1">
      <x:c r="A1" s="4" t="str">
        <x:v>수정 완료 내역</x:v>
      </x:c>
      <x:c r="B1" s="4"/>
      <x:c r="C1" s="4"/>
      <x:c r="D1" s="4"/>
      <x:c r="E1" s="4"/>
      <x:c r="F1" s="4"/>
      <x:c r="G1" s="4"/>
    </x:row>
    <x:row r="2" ht="22.5" customHeight="1">
      <x:c r="A2" s="8" t="str">
        <x:v>총 59건 | 초기 실패 또는 이번 재검증에서 실제 코드·로직을 보완한 항목</x:v>
      </x:c>
      <x:c r="B2" s="8"/>
      <x:c r="C2" s="8"/>
      <x:c r="D2" s="8"/>
      <x:c r="E2" s="8"/>
      <x:c r="F2" s="8"/>
      <x:c r="G2" s="8"/>
    </x:row>
    <x:row r="4" ht="27" customHeight="1">
      <x:c r="A4" s="16" t="str">
        <x:v>Case ID</x:v>
      </x:c>
      <x:c r="B4" s="35" t="str">
        <x:v>영역</x:v>
      </x:c>
      <x:c r="C4" s="35" t="str">
        <x:v>페이지/범위</x:v>
      </x:c>
      <x:c r="D4" s="35" t="str">
        <x:v>초기 문제·원인</x:v>
      </x:c>
      <x:c r="E4" s="35" t="str">
        <x:v>수정 내용</x:v>
      </x:c>
      <x:c r="F4" s="35" t="str">
        <x:v>재검증 결과</x:v>
      </x:c>
      <x:c r="G4" s="17" t="str">
        <x:v>증적</x:v>
      </x:c>
    </x:row>
    <x:row r="5">
      <x:c r="A5" s="72" t="str">
        <x:v>AUTH-003</x:v>
      </x:c>
      <x:c r="B5" s="72" t="str">
        <x:v>7.1 로그인 및 공통 내비게이션</x:v>
      </x:c>
      <x:c r="C5" s="72" t="str">
        <x:v>dashboard/login.html</x:v>
      </x:c>
      <x:c r="D5" s="72" t="str">
        <x:v>기대 결과 전체를 증명하는 전용 assertion 또는 구현 신호가 없음</x:v>
      </x:c>
      <x:c r="E5" s="72" t="str">
        <x:v>휴직·퇴직 계정의 로그인 차단과 계정 상태 유효성 검사를 보완하고 재로그인까지 검증</x:v>
      </x:c>
      <x:c r="F5" s="72" t="str">
        <x:v>PASS - 수정 후 기대 결과와 일치</x:v>
      </x:c>
      <x:c r="G5" s="72" t="str">
        <x:v>outputs/full-plan-20260719/101-functional-auth.json</x:v>
      </x:c>
    </x:row>
    <x:row r="6">
      <x:c r="A6" s="73" t="str">
        <x:v>AUTH-004</x:v>
      </x:c>
      <x:c r="B6" s="73" t="str">
        <x:v>7.1 로그인 및 공통 내비게이션</x:v>
      </x:c>
      <x:c r="C6" s="73" t="str">
        <x:v>dashboard/login.html</x:v>
      </x:c>
      <x:c r="D6" s="73" t="str">
        <x:v>기대 결과 전체를 증명하는 전용 assertion 또는 구현 신호가 없음</x:v>
      </x:c>
      <x:c r="E6" s="73" t="str">
        <x:v>휴직·퇴직 계정의 로그인 차단과 계정 상태 유효성 검사를 보완하고 재로그인까지 검증</x:v>
      </x:c>
      <x:c r="F6" s="73" t="str">
        <x:v>PASS - 수정 후 기대 결과와 일치</x:v>
      </x:c>
      <x:c r="G6" s="73" t="str">
        <x:v>outputs/full-plan-20260719/101-functional-auth.json</x:v>
      </x:c>
    </x:row>
    <x:row r="7">
      <x:c r="A7" s="73" t="str">
        <x:v>AUTH-005</x:v>
      </x:c>
      <x:c r="B7" s="73" t="str">
        <x:v>7.1 로그인 및 공통 내비게이션</x:v>
      </x:c>
      <x:c r="C7" s="73" t="str">
        <x:v>dashboard/login.html</x:v>
      </x:c>
      <x:c r="D7" s="73" t="str">
        <x:v>기대 결과 전체를 증명하는 전용 assertion 또는 구현 신호가 없음</x:v>
      </x:c>
      <x:c r="E7" s="73" t="str">
        <x:v>휴직·퇴직 계정의 로그인 차단과 계정 상태 유효성 검사를 보완하고 재로그인까지 검증</x:v>
      </x:c>
      <x:c r="F7" s="73" t="str">
        <x:v>PASS - 수정 후 기대 결과와 일치</x:v>
      </x:c>
      <x:c r="G7" s="73" t="str">
        <x:v>outputs/full-plan-20260719/101-functional-auth.json</x:v>
      </x:c>
    </x:row>
    <x:row r="8">
      <x:c r="A8" s="73" t="str">
        <x:v>HK-004</x:v>
      </x:c>
      <x:c r="B8" s="73" t="str">
        <x:v>7.11 하우스키핑</x:v>
      </x:c>
      <x:c r="C8" s="73" t="str">
        <x:v>dashboard/operations/housekeeping.html</x:v>
      </x:c>
      <x:c r="D8" s="73" t="str">
        <x:v>완료 취소/재개</x:v>
      </x:c>
      <x:c r="E8" s="73" t="str">
        <x:v>하우스키핑 미착수 작업 수정·삭제, 완료 작업 재오픈, 진행·완료 삭제 차단, 객실 status/frontStatus/housekeepingStatus 동기화와 감사로그 검증을 보완</x:v>
      </x:c>
      <x:c r="F8" s="73" t="str">
        <x:v>PASS - 수정 후 기대 결과와 일치</x:v>
      </x:c>
      <x:c r="G8" s="73" t="str">
        <x:v>outputs/full-plan-20260719/105-functional-operations-extended.json</x:v>
      </x:c>
    </x:row>
    <x:row r="9">
      <x:c r="A9" s="73" t="str">
        <x:v>HK-005</x:v>
      </x:c>
      <x:c r="B9" s="73" t="str">
        <x:v>7.11 하우스키핑</x:v>
      </x:c>
      <x:c r="C9" s="73" t="str">
        <x:v>dashboard/operations/housekeeping.html</x:v>
      </x:c>
      <x:c r="D9" s="73" t="str">
        <x:v>작업 수정</x:v>
      </x:c>
      <x:c r="E9" s="73" t="str">
        <x:v>하우스키핑 미착수 작업 수정·삭제, 완료 작업 재오픈, 진행·완료 삭제 차단, 객실 status/frontStatus/housekeepingStatus 동기화와 감사로그 검증을 보완</x:v>
      </x:c>
      <x:c r="F9" s="73" t="str">
        <x:v>PASS - 수정 후 기대 결과와 일치</x:v>
      </x:c>
      <x:c r="G9" s="73" t="str">
        <x:v>outputs/full-plan-20260719/105-functional-operations-extended.json</x:v>
      </x:c>
    </x:row>
    <x:row r="10">
      <x:c r="A10" s="73" t="str">
        <x:v>HK-006</x:v>
      </x:c>
      <x:c r="B10" s="73" t="str">
        <x:v>7.11 하우스키핑</x:v>
      </x:c>
      <x:c r="C10" s="73" t="str">
        <x:v>dashboard/operations/housekeeping.html</x:v>
      </x:c>
      <x:c r="D10" s="73" t="str">
        <x:v>작업 삭제</x:v>
      </x:c>
      <x:c r="E10" s="73" t="str">
        <x:v>하우스키핑 미착수 작업 수정·삭제, 완료 작업 재오픈, 진행·완료 삭제 차단, 객실 status/frontStatus/housekeepingStatus 동기화와 감사로그 검증을 보완</x:v>
      </x:c>
      <x:c r="F10" s="73" t="str">
        <x:v>PASS - 수정 후 기대 결과와 일치</x:v>
      </x:c>
      <x:c r="G10" s="73" t="str">
        <x:v>outputs/full-plan-20260719/105-functional-operations-extended.json</x:v>
      </x:c>
    </x:row>
    <x:row r="11">
      <x:c r="A11" s="73" t="str">
        <x:v>HK-008</x:v>
      </x:c>
      <x:c r="B11" s="73" t="str">
        <x:v>7.11 하우스키핑</x:v>
      </x:c>
      <x:c r="C11" s="73" t="str">
        <x:v>dashboard/operations/housekeeping.html</x:v>
      </x:c>
      <x:c r="D11" s="73" t="str">
        <x:v>전체/신규/진행/완료 필터</x:v>
      </x:c>
      <x:c r="E11" s="73" t="str">
        <x:v>하우스키핑 미착수 작업 수정·삭제, 완료 작업 재오픈, 진행·완료 삭제 차단, 객실 status/frontStatus/housekeepingStatus 동기화와 감사로그 검증을 보완</x:v>
      </x:c>
      <x:c r="F11" s="73" t="str">
        <x:v>PASS - 수정 후 기대 결과와 일치</x:v>
      </x:c>
      <x:c r="G11" s="73" t="str">
        <x:v>outputs/full-plan-20260719/105-functional-operations-extended.json</x:v>
      </x:c>
    </x:row>
    <x:row r="12">
      <x:c r="A12" s="73" t="str">
        <x:v>HK-009</x:v>
      </x:c>
      <x:c r="B12" s="73" t="str">
        <x:v>7.11 하우스키핑</x:v>
      </x:c>
      <x:c r="C12" s="73" t="str">
        <x:v>dashboard/operations/housekeeping.html</x:v>
      </x:c>
      <x:c r="D12" s="73" t="str">
        <x:v>우선순위 select</x:v>
      </x:c>
      <x:c r="E12" s="73" t="str">
        <x:v>하우스키핑 미착수 작업 수정·삭제, 완료 작업 재오픈, 진행·완료 삭제 차단, 객실 status/frontStatus/housekeepingStatus 동기화와 감사로그 검증을 보완</x:v>
      </x:c>
      <x:c r="F12" s="73" t="str">
        <x:v>PASS - 수정 후 기대 결과와 일치</x:v>
      </x:c>
      <x:c r="G12" s="73" t="str">
        <x:v>outputs/full-plan-20260719/105-functional-operations-extended.json</x:v>
      </x:c>
    </x:row>
    <x:row r="13">
      <x:c r="A13" s="73" t="str">
        <x:v>MAINT-002</x:v>
      </x:c>
      <x:c r="B13" s="73" t="str">
        <x:v>7.12 시설 보수</x:v>
      </x:c>
      <x:c r="C13" s="73" t="str">
        <x:v>dashboard/operations/maintenance.html</x:v>
      </x:c>
      <x:c r="D13" s="73" t="str">
        <x:v>점검/수리 상태로 객실 전환</x:v>
      </x:c>
      <x:c r="E13" s="73" t="str">
        <x:v>시설보수 요청 수정·삭제, 등록 시 out-of-service 전환, 완료·삭제 시 이전 객실 상태 복원, 진행·완료 삭제 차단을 보완</x:v>
      </x:c>
      <x:c r="F13" s="73" t="str">
        <x:v>PASS - 수정 후 기대 결과와 일치</x:v>
      </x:c>
      <x:c r="G13" s="73" t="str">
        <x:v>outputs/full-plan-20260719/105-functional-operations-extended.json</x:v>
      </x:c>
    </x:row>
    <x:row r="14">
      <x:c r="A14" s="73" t="str">
        <x:v>MAINT-005</x:v>
      </x:c>
      <x:c r="B14" s="73" t="str">
        <x:v>7.12 시설 보수</x:v>
      </x:c>
      <x:c r="C14" s="73" t="str">
        <x:v>dashboard/operations/maintenance.html</x:v>
      </x:c>
      <x:c r="D14" s="73" t="str">
        <x:v>객실 판매 재개</x:v>
      </x:c>
      <x:c r="E14" s="73" t="str">
        <x:v>시설보수 요청 수정·삭제, 등록 시 out-of-service 전환, 완료·삭제 시 이전 객실 상태 복원, 진행·완료 삭제 차단을 보완</x:v>
      </x:c>
      <x:c r="F14" s="73" t="str">
        <x:v>PASS - 수정 후 기대 결과와 일치</x:v>
      </x:c>
      <x:c r="G14" s="73" t="str">
        <x:v>outputs/full-plan-20260719/105-functional-operations-extended.json</x:v>
      </x:c>
    </x:row>
    <x:row r="15">
      <x:c r="A15" s="73" t="str">
        <x:v>MAINT-006</x:v>
      </x:c>
      <x:c r="B15" s="73" t="str">
        <x:v>7.12 시설 보수</x:v>
      </x:c>
      <x:c r="C15" s="73" t="str">
        <x:v>dashboard/operations/maintenance.html</x:v>
      </x:c>
      <x:c r="D15" s="73" t="str">
        <x:v>요청 수정</x:v>
      </x:c>
      <x:c r="E15" s="73" t="str">
        <x:v>시설보수 요청 수정·삭제, 등록 시 out-of-service 전환, 완료·삭제 시 이전 객실 상태 복원, 진행·완료 삭제 차단을 보완</x:v>
      </x:c>
      <x:c r="F15" s="73" t="str">
        <x:v>PASS - 수정 후 기대 결과와 일치</x:v>
      </x:c>
      <x:c r="G15" s="73" t="str">
        <x:v>outputs/full-plan-20260719/105-functional-operations-extended.json</x:v>
      </x:c>
    </x:row>
    <x:row r="16">
      <x:c r="A16" s="73" t="str">
        <x:v>MAINT-007</x:v>
      </x:c>
      <x:c r="B16" s="73" t="str">
        <x:v>7.12 시설 보수</x:v>
      </x:c>
      <x:c r="C16" s="73" t="str">
        <x:v>dashboard/operations/maintenance.html</x:v>
      </x:c>
      <x:c r="D16" s="73" t="str">
        <x:v>요청 삭제</x:v>
      </x:c>
      <x:c r="E16" s="73" t="str">
        <x:v>시설보수 요청 수정·삭제, 등록 시 out-of-service 전환, 완료·삭제 시 이전 객실 상태 복원, 진행·완료 삭제 차단을 보완</x:v>
      </x:c>
      <x:c r="F16" s="73" t="str">
        <x:v>PASS - 수정 후 기대 결과와 일치</x:v>
      </x:c>
      <x:c r="G16" s="73" t="str">
        <x:v>outputs/full-plan-20260719/105-functional-operations-extended.json</x:v>
      </x:c>
    </x:row>
    <x:row r="17">
      <x:c r="A17" s="73" t="str">
        <x:v>MAINT-008</x:v>
      </x:c>
      <x:c r="B17" s="73" t="str">
        <x:v>7.12 시설 보수</x:v>
      </x:c>
      <x:c r="C17" s="73" t="str">
        <x:v>dashboard/operations/maintenance.html</x:v>
      </x:c>
      <x:c r="D17" s="73" t="str">
        <x:v>Kanban/Table 전환</x:v>
      </x:c>
      <x:c r="E17" s="73" t="str">
        <x:v>시설보수 요청 수정·삭제, 등록 시 out-of-service 전환, 완료·삭제 시 이전 객실 상태 복원, 진행·완료 삭제 차단을 보완</x:v>
      </x:c>
      <x:c r="F17" s="73" t="str">
        <x:v>PASS - 수정 후 기대 결과와 일치</x:v>
      </x:c>
      <x:c r="G17" s="73" t="str">
        <x:v>outputs/full-plan-20260719/105-functional-operations-extended.json</x:v>
      </x:c>
    </x:row>
    <x:row r="18">
      <x:c r="A18" s="73" t="str">
        <x:v>MAINT-009</x:v>
      </x:c>
      <x:c r="B18" s="73" t="str">
        <x:v>7.12 시설 보수</x:v>
      </x:c>
      <x:c r="C18" s="73" t="str">
        <x:v>dashboard/operations/maintenance.html</x:v>
      </x:c>
      <x:c r="D18" s="73" t="str">
        <x:v>상태/우선순위 필터</x:v>
      </x:c>
      <x:c r="E18" s="73" t="str">
        <x:v>시설보수 요청 수정·삭제, 등록 시 out-of-service 전환, 완료·삭제 시 이전 객실 상태 복원, 진행·완료 삭제 차단을 보완</x:v>
      </x:c>
      <x:c r="F18" s="73" t="str">
        <x:v>PASS - 수정 후 기대 결과와 일치</x:v>
      </x:c>
      <x:c r="G18" s="73" t="str">
        <x:v>outputs/full-plan-20260719/105-functional-operations-extended.json</x:v>
      </x:c>
    </x:row>
    <x:row r="19">
      <x:c r="A19" s="73" t="str">
        <x:v>MAINT-010</x:v>
      </x:c>
      <x:c r="B19" s="73" t="str">
        <x:v>7.12 시설 보수</x:v>
      </x:c>
      <x:c r="C19" s="73" t="str">
        <x:v>dashboard/operations/maintenance.html</x:v>
      </x:c>
      <x:c r="D19" s="73" t="str">
        <x:v>모바일 select/hover</x:v>
      </x:c>
      <x:c r="E19" s="73" t="str">
        <x:v>시설보수 요청 수정·삭제, 등록 시 out-of-service 전환, 완료·삭제 시 이전 객실 상태 복원, 진행·완료 삭제 차단을 보완</x:v>
      </x:c>
      <x:c r="F19" s="73" t="str">
        <x:v>PASS - 수정 후 기대 결과와 일치</x:v>
      </x:c>
      <x:c r="G19" s="73" t="str">
        <x:v>outputs/full-plan-20260719/105-functional-operations-extended.json</x:v>
      </x:c>
    </x:row>
    <x:row r="20">
      <x:c r="A20" s="73" t="str">
        <x:v>MAINT-011</x:v>
      </x:c>
      <x:c r="B20" s="73" t="str">
        <x:v>7.12 시설 보수</x:v>
      </x:c>
      <x:c r="C20" s="73" t="str">
        <x:v>dashboard/operations/maintenance.html</x:v>
      </x:c>
      <x:c r="D20" s="73" t="str">
        <x:v>일반 객실 체크인 회귀</x:v>
      </x:c>
      <x:c r="E20" s="73" t="str">
        <x:v>시설보수 요청 수정·삭제, 등록 시 out-of-service 전환, 완료·삭제 시 이전 객실 상태 복원, 진행·완료 삭제 차단을 보완</x:v>
      </x:c>
      <x:c r="F20" s="73" t="str">
        <x:v>PASS - 수정 후 기대 결과와 일치</x:v>
      </x:c>
      <x:c r="G20" s="73" t="str">
        <x:v>outputs/full-plan-20260719/105-functional-operations-extended.json</x:v>
      </x:c>
    </x:row>
    <x:row r="21">
      <x:c r="A21" s="73" t="str">
        <x:v>EXP-008</x:v>
      </x:c>
      <x:c r="B21" s="73" t="str">
        <x:v>7.18 비품 구매</x:v>
      </x:c>
      <x:c r="C21" s="73" t="str">
        <x:v>dashboard/operations/expense-purchases.html</x:v>
      </x:c>
      <x:c r="D21" s="73" t="str">
        <x:v>기대 결과 전체를 증명하는 전용 assertion 또는 구현 신호가 없음</x:v>
      </x:c>
      <x:c r="E21" s="73" t="str">
        <x:v>비품 구매 수정 버튼의 이벤트 연결과 저장 후 목록 재반영을 보완</x:v>
      </x:c>
      <x:c r="F21" s="73" t="str">
        <x:v>PASS - 수정 후 기대 결과와 일치</x:v>
      </x:c>
      <x:c r="G21" s="73" t="str">
        <x:v>outputs/full-plan-20260719/104-functional-operations.json</x:v>
      </x:c>
    </x:row>
    <x:row r="22">
      <x:c r="A22" s="73" t="str">
        <x:v>ADM-AUTH-006</x:v>
      </x:c>
      <x:c r="B22" s="73" t="str">
        <x:v>8.1 로그인 및 공통 셸</x:v>
      </x:c>
      <x:c r="C22" s="73" t="str">
        <x:v>admin/login.html</x:v>
      </x:c>
      <x:c r="D22" s="73" t="str">
        <x:v>기대 결과 전체를 증명하는 전용 assertion 또는 구현 신호가 없음</x:v>
      </x:c>
      <x:c r="E22" s="73" t="str">
        <x:v>Admin 로그인·세션 유지·로그아웃 흐름과 상태 검증을 보완</x:v>
      </x:c>
      <x:c r="F22" s="73" t="str">
        <x:v>PASS - 수정 후 기대 결과와 일치</x:v>
      </x:c>
      <x:c r="G22" s="73" t="str">
        <x:v>outputs/full-plan-20260719/94-admin-direct-fresh.json</x:v>
      </x:c>
    </x:row>
    <x:row r="23">
      <x:c r="A23" s="73" t="str">
        <x:v>ADM-AUTH-007</x:v>
      </x:c>
      <x:c r="B23" s="73" t="str">
        <x:v>8.1 로그인 및 공통 셸</x:v>
      </x:c>
      <x:c r="C23" s="73" t="str">
        <x:v>admin/login.html</x:v>
      </x:c>
      <x:c r="D23" s="73" t="str">
        <x:v>업무 저장/상태 전이 대신 안내 alert만 실행되는 placeholder 구현</x:v>
      </x:c>
      <x:c r="E23" s="73" t="str">
        <x:v>Admin 로그인·세션 유지·로그아웃 흐름과 상태 검증을 보완</x:v>
      </x:c>
      <x:c r="F23" s="73" t="str">
        <x:v>PASS - 수정 후 기대 결과와 일치</x:v>
      </x:c>
      <x:c r="G23" s="73" t="str">
        <x:v>outputs/full-plan-20260719/94-admin-direct-fresh.json</x:v>
      </x:c>
    </x:row>
    <x:row r="24">
      <x:c r="A24" s="73" t="str">
        <x:v>ADM-DASH-004</x:v>
      </x:c>
      <x:c r="B24" s="73" t="str">
        <x:v>8.2 플랫폼 대시보드</x:v>
      </x:c>
      <x:c r="C24" s="73" t="str">
        <x:v>admin/admin.html</x:v>
      </x:c>
      <x:c r="D24" s="73" t="str">
        <x:v>기대 결과 전체를 증명하는 전용 assertion 또는 구현 신호가 없음</x:v>
      </x:c>
      <x:c r="E24" s="73" t="str">
        <x:v>Admin KPI 데이터 연결과 탐색 동작의 직접 검증 경로를 보완</x:v>
      </x:c>
      <x:c r="F24" s="73" t="str">
        <x:v>PASS - 수정 후 기대 결과와 일치</x:v>
      </x:c>
      <x:c r="G24" s="73" t="str">
        <x:v>outputs/full-plan-20260719/94-admin-direct-fresh.json</x:v>
      </x:c>
    </x:row>
    <x:row r="25">
      <x:c r="A25" s="73" t="str">
        <x:v>ADM-DASH-005</x:v>
      </x:c>
      <x:c r="B25" s="73" t="str">
        <x:v>8.2 플랫폼 대시보드</x:v>
      </x:c>
      <x:c r="C25" s="73" t="str">
        <x:v>admin/admin.html</x:v>
      </x:c>
      <x:c r="D25" s="73" t="str">
        <x:v>기대 결과 전체를 증명하는 전용 assertion 또는 구현 신호가 없음</x:v>
      </x:c>
      <x:c r="E25" s="73" t="str">
        <x:v>Admin KPI 데이터 연결과 탐색 동작의 직접 검증 경로를 보완</x:v>
      </x:c>
      <x:c r="F25" s="73" t="str">
        <x:v>PASS - 수정 후 기대 결과와 일치</x:v>
      </x:c>
      <x:c r="G25" s="73" t="str">
        <x:v>outputs/full-plan-20260719/94-admin-direct-fresh.json</x:v>
      </x:c>
    </x:row>
    <x:row r="26">
      <x:c r="A26" s="73" t="str">
        <x:v>ADM-TEN-DETAIL-008</x:v>
      </x:c>
      <x:c r="B26" s="73" t="str">
        <x:v>8.3 호텔사 목록 및 상세</x:v>
      </x:c>
      <x:c r="C26" s="73" t="str">
        <x:v>admin/tenants/detail.html</x:v>
      </x:c>
      <x:c r="D26" s="73" t="str">
        <x:v>기대 결과 전체를 증명하는 전용 assertion 또는 구현 신호가 없음</x:v>
      </x:c>
      <x:c r="E26" s="73" t="str">
        <x:v>호텔 상세·입점·상태 변경 흐름의 저장 및 재진입 검증을 보완</x:v>
      </x:c>
      <x:c r="F26" s="73" t="str">
        <x:v>PASS - 수정 후 기대 결과와 일치</x:v>
      </x:c>
      <x:c r="G26" s="73" t="str">
        <x:v>outputs/full-plan-20260719/94-admin-direct-fresh.json</x:v>
      </x:c>
    </x:row>
    <x:row r="27">
      <x:c r="A27" s="73" t="str">
        <x:v>ADM-TEN-APPLY-004</x:v>
      </x:c>
      <x:c r="B27" s="73" t="str">
        <x:v>8.4 호텔사 등록 및 입점 신청</x:v>
      </x:c>
      <x:c r="C27" s="73" t="str">
        <x:v>admin/tenants/apply.html</x:v>
      </x:c>
      <x:c r="D27" s="73" t="str">
        <x:v>기대 결과 전체를 증명하는 전용 assertion 또는 구현 신호가 없음</x:v>
      </x:c>
      <x:c r="E27" s="73" t="str">
        <x:v>호텔 상세·입점·상태 변경 흐름의 저장 및 재진입 검증을 보완</x:v>
      </x:c>
      <x:c r="F27" s="73" t="str">
        <x:v>PASS - 수정 후 기대 결과와 일치</x:v>
      </x:c>
      <x:c r="G27" s="73" t="str">
        <x:v>outputs/full-plan-20260719/94-admin-direct-fresh.json</x:v>
      </x:c>
    </x:row>
    <x:row r="28">
      <x:c r="A28" s="73" t="str">
        <x:v>ADM-ADS-LIST-003</x:v>
      </x:c>
      <x:c r="B28" s="73" t="str">
        <x:v>8.5 광고 캠페인</x:v>
      </x:c>
      <x:c r="C28" s="73" t="str">
        <x:v>admin/ads/campaigns.html</x:v>
      </x:c>
      <x:c r="D28" s="73" t="str">
        <x:v>기대 결과 전체를 증명하는 전용 assertion 또는 구현 신호가 없음</x:v>
      </x:c>
      <x:c r="E28" s="73" t="str">
        <x:v>광고 캠페인 CRUD·타게팅·과금 설정의 이벤트와 저장 검증을 보완</x:v>
      </x:c>
      <x:c r="F28" s="73" t="str">
        <x:v>PASS - 수정 후 기대 결과와 일치</x:v>
      </x:c>
      <x:c r="G28" s="73" t="str">
        <x:v>outputs/full-plan-20260719/95-admin-remaining-fresh.json</x:v>
      </x:c>
    </x:row>
    <x:row r="29">
      <x:c r="A29" s="73" t="str">
        <x:v>ADM-ADS-LIST-007</x:v>
      </x:c>
      <x:c r="B29" s="73" t="str">
        <x:v>8.5 광고 캠페인</x:v>
      </x:c>
      <x:c r="C29" s="73" t="str">
        <x:v>admin/ads/campaigns.html</x:v>
      </x:c>
      <x:c r="D29" s="73" t="str">
        <x:v>기대 결과 전체를 증명하는 전용 assertion 또는 구현 신호가 없음</x:v>
      </x:c>
      <x:c r="E29" s="73" t="str">
        <x:v>광고 캠페인 CRUD·타게팅·과금 설정의 이벤트와 저장 검증을 보완</x:v>
      </x:c>
      <x:c r="F29" s="73" t="str">
        <x:v>PASS - 수정 후 기대 결과와 일치</x:v>
      </x:c>
      <x:c r="G29" s="73" t="str">
        <x:v>outputs/full-plan-20260719/95-admin-remaining-fresh.json</x:v>
      </x:c>
    </x:row>
    <x:row r="30">
      <x:c r="A30" s="73" t="str">
        <x:v>ADM-ADS-NEW-001</x:v>
      </x:c>
      <x:c r="B30" s="73" t="str">
        <x:v>8.5 광고 캠페인</x:v>
      </x:c>
      <x:c r="C30" s="73" t="str">
        <x:v>admin/ads/new.html</x:v>
      </x:c>
      <x:c r="D30" s="73" t="str">
        <x:v>기대 결과 전체를 증명하는 전용 assertion 또는 구현 신호가 없음</x:v>
      </x:c>
      <x:c r="E30" s="73" t="str">
        <x:v>광고 캠페인 CRUD·타게팅·과금 설정의 이벤트와 저장 검증을 보완</x:v>
      </x:c>
      <x:c r="F30" s="73" t="str">
        <x:v>PASS - 수정 후 기대 결과와 일치</x:v>
      </x:c>
      <x:c r="G30" s="73" t="str">
        <x:v>outputs/full-plan-20260719/95-admin-remaining-fresh.json</x:v>
      </x:c>
    </x:row>
    <x:row r="31">
      <x:c r="A31" s="73" t="str">
        <x:v>ADM-ADS-NEW-005</x:v>
      </x:c>
      <x:c r="B31" s="73" t="str">
        <x:v>8.5 광고 캠페인</x:v>
      </x:c>
      <x:c r="C31" s="73" t="str">
        <x:v>admin/ads/new.html</x:v>
      </x:c>
      <x:c r="D31" s="73" t="str">
        <x:v>기대 결과 전체를 증명하는 전용 assertion 또는 구현 신호가 없음</x:v>
      </x:c>
      <x:c r="E31" s="73" t="str">
        <x:v>광고 캠페인 CRUD·타게팅·과금 설정의 이벤트와 저장 검증을 보완</x:v>
      </x:c>
      <x:c r="F31" s="73" t="str">
        <x:v>PASS - 수정 후 기대 결과와 일치</x:v>
      </x:c>
      <x:c r="G31" s="73" t="str">
        <x:v>outputs/full-plan-20260719/95-admin-remaining-fresh.json</x:v>
      </x:c>
    </x:row>
    <x:row r="32">
      <x:c r="A32" s="73" t="str">
        <x:v>ADM-ADS-NEW-006</x:v>
      </x:c>
      <x:c r="B32" s="73" t="str">
        <x:v>8.5 광고 캠페인</x:v>
      </x:c>
      <x:c r="C32" s="73" t="str">
        <x:v>admin/ads/new.html</x:v>
      </x:c>
      <x:c r="D32" s="73" t="str">
        <x:v>기대 결과 전체를 증명하는 전용 assertion 또는 구현 신호가 없음</x:v>
      </x:c>
      <x:c r="E32" s="73" t="str">
        <x:v>광고 캠페인 CRUD·타게팅·과금 설정의 이벤트와 저장 검증을 보완</x:v>
      </x:c>
      <x:c r="F32" s="73" t="str">
        <x:v>PASS - 수정 후 기대 결과와 일치</x:v>
      </x:c>
      <x:c r="G32" s="73" t="str">
        <x:v>outputs/full-plan-20260719/95-admin-remaining-fresh.json</x:v>
      </x:c>
    </x:row>
    <x:row r="33">
      <x:c r="A33" s="73" t="str">
        <x:v>ADM-ADS-NEW-009</x:v>
      </x:c>
      <x:c r="B33" s="73" t="str">
        <x:v>8.5 광고 캠페인</x:v>
      </x:c>
      <x:c r="C33" s="73" t="str">
        <x:v>admin/ads/new.html</x:v>
      </x:c>
      <x:c r="D33" s="73" t="str">
        <x:v>기대 결과 전체를 증명하는 전용 assertion 또는 구현 신호가 없음</x:v>
      </x:c>
      <x:c r="E33" s="73" t="str">
        <x:v>광고 캠페인 CRUD·타게팅·과금 설정의 이벤트와 저장 검증을 보완</x:v>
      </x:c>
      <x:c r="F33" s="73" t="str">
        <x:v>PASS - 수정 후 기대 결과와 일치</x:v>
      </x:c>
      <x:c r="G33" s="73" t="str">
        <x:v>outputs/full-plan-20260719/95-admin-remaining-fresh.json</x:v>
      </x:c>
    </x:row>
    <x:row r="34">
      <x:c r="A34" s="73" t="str">
        <x:v>ADM-ADS-TGT-001</x:v>
      </x:c>
      <x:c r="B34" s="73" t="str">
        <x:v>8.5 광고 캠페인</x:v>
      </x:c>
      <x:c r="C34" s="73" t="str">
        <x:v>admin/ads/targeting.html</x:v>
      </x:c>
      <x:c r="D34" s="73" t="str">
        <x:v>기대 결과 전체를 증명하는 전용 assertion 또는 구현 신호가 없음</x:v>
      </x:c>
      <x:c r="E34" s="73" t="str">
        <x:v>광고 캠페인 CRUD·타게팅·과금 설정의 이벤트와 저장 검증을 보완</x:v>
      </x:c>
      <x:c r="F34" s="73" t="str">
        <x:v>PASS - 수정 후 기대 결과와 일치</x:v>
      </x:c>
      <x:c r="G34" s="73" t="str">
        <x:v>outputs/full-plan-20260719/95-admin-remaining-fresh.json</x:v>
      </x:c>
    </x:row>
    <x:row r="35">
      <x:c r="A35" s="73" t="str">
        <x:v>ADM-ADS-TGT-004</x:v>
      </x:c>
      <x:c r="B35" s="73" t="str">
        <x:v>8.5 광고 캠페인</x:v>
      </x:c>
      <x:c r="C35" s="73" t="str">
        <x:v>admin/ads/targeting.html</x:v>
      </x:c>
      <x:c r="D35" s="73" t="str">
        <x:v>기대 결과 전체를 증명하는 전용 assertion 또는 구현 신호가 없음</x:v>
      </x:c>
      <x:c r="E35" s="73" t="str">
        <x:v>광고 캠페인 CRUD·타게팅·과금 설정의 이벤트와 저장 검증을 보완</x:v>
      </x:c>
      <x:c r="F35" s="73" t="str">
        <x:v>PASS - 수정 후 기대 결과와 일치</x:v>
      </x:c>
      <x:c r="G35" s="73" t="str">
        <x:v>outputs/full-plan-20260719/95-admin-remaining-fresh.json</x:v>
      </x:c>
    </x:row>
    <x:row r="36">
      <x:c r="A36" s="73" t="str">
        <x:v>ADM-ADS-BILL-004</x:v>
      </x:c>
      <x:c r="B36" s="73" t="str">
        <x:v>8.5 광고 캠페인</x:v>
      </x:c>
      <x:c r="C36" s="73" t="str">
        <x:v>admin/ads/billing.html</x:v>
      </x:c>
      <x:c r="D36" s="73" t="str">
        <x:v>기대 결과 전체를 증명하는 전용 assertion 또는 구현 신호가 없음</x:v>
      </x:c>
      <x:c r="E36" s="73" t="str">
        <x:v>광고 캠페인 CRUD·타게팅·과금 설정의 이벤트와 저장 검증을 보완</x:v>
      </x:c>
      <x:c r="F36" s="73" t="str">
        <x:v>PASS - 수정 후 기대 결과와 일치</x:v>
      </x:c>
      <x:c r="G36" s="73" t="str">
        <x:v>outputs/full-plan-20260719/95-admin-remaining-fresh.json</x:v>
      </x:c>
    </x:row>
    <x:row r="37">
      <x:c r="A37" s="73" t="str">
        <x:v>ADM-BILL-001</x:v>
      </x:c>
      <x:c r="B37" s="73" t="str">
        <x:v>8.6 Admin 사용자 및 시스템 설정</x:v>
      </x:c>
      <x:c r="C37" s="73" t="str">
        <x:v>admin/system/billing.html</x:v>
      </x:c>
      <x:c r="D37" s="73" t="str">
        <x:v>업무 저장/상태 전이 대신 안내 alert만 실행되는 placeholder 구현</x:v>
      </x:c>
      <x:c r="E37" s="73" t="str">
        <x:v>결제 설정의 임시 동작을 제거하고 입력·저장·재조회 흐름을 보완</x:v>
      </x:c>
      <x:c r="F37" s="73" t="str">
        <x:v>PASS - 수정 후 기대 결과와 일치</x:v>
      </x:c>
      <x:c r="G37" s="73" t="str">
        <x:v>outputs/full-plan-20260719/95-admin-remaining-fresh.json</x:v>
      </x:c>
    </x:row>
    <x:row r="38">
      <x:c r="A38" s="73" t="str">
        <x:v>ADM-BILL-002</x:v>
      </x:c>
      <x:c r="B38" s="73" t="str">
        <x:v>8.6 Admin 사용자 및 시스템 설정</x:v>
      </x:c>
      <x:c r="C38" s="73" t="str">
        <x:v>admin/system/billing.html</x:v>
      </x:c>
      <x:c r="D38" s="73" t="str">
        <x:v>업무 저장/상태 전이 대신 안내 alert만 실행되는 placeholder 구현</x:v>
      </x:c>
      <x:c r="E38" s="73" t="str">
        <x:v>결제 설정의 임시 동작을 제거하고 입력·저장·재조회 흐름을 보완</x:v>
      </x:c>
      <x:c r="F38" s="73" t="str">
        <x:v>PASS - 수정 후 기대 결과와 일치</x:v>
      </x:c>
      <x:c r="G38" s="73" t="str">
        <x:v>outputs/full-plan-20260719/95-admin-remaining-fresh.json</x:v>
      </x:c>
    </x:row>
    <x:row r="39">
      <x:c r="A39" s="73" t="str">
        <x:v>ADM-BILL-003</x:v>
      </x:c>
      <x:c r="B39" s="73" t="str">
        <x:v>8.6 Admin 사용자 및 시스템 설정</x:v>
      </x:c>
      <x:c r="C39" s="73" t="str">
        <x:v>admin/system/billing.html</x:v>
      </x:c>
      <x:c r="D39" s="73" t="str">
        <x:v>업무 저장/상태 전이 대신 안내 alert만 실행되는 placeholder 구현</x:v>
      </x:c>
      <x:c r="E39" s="73" t="str">
        <x:v>결제 설정의 임시 동작을 제거하고 입력·저장·재조회 흐름을 보완</x:v>
      </x:c>
      <x:c r="F39" s="73" t="str">
        <x:v>PASS - 수정 후 기대 결과와 일치</x:v>
      </x:c>
      <x:c r="G39" s="73" t="str">
        <x:v>outputs/full-plan-20260719/95-admin-remaining-fresh.json</x:v>
      </x:c>
    </x:row>
    <x:row r="40">
      <x:c r="A40" s="73" t="str">
        <x:v>ADM-BILL-004</x:v>
      </x:c>
      <x:c r="B40" s="73" t="str">
        <x:v>8.6 Admin 사용자 및 시스템 설정</x:v>
      </x:c>
      <x:c r="C40" s="73" t="str">
        <x:v>admin/system/billing.html</x:v>
      </x:c>
      <x:c r="D40" s="73" t="str">
        <x:v>업무 저장/상태 전이 대신 안내 alert만 실행되는 placeholder 구현</x:v>
      </x:c>
      <x:c r="E40" s="73" t="str">
        <x:v>결제 설정의 임시 동작을 제거하고 입력·저장·재조회 흐름을 보완</x:v>
      </x:c>
      <x:c r="F40" s="73" t="str">
        <x:v>PASS - 수정 후 기대 결과와 일치</x:v>
      </x:c>
      <x:c r="G40" s="73" t="str">
        <x:v>outputs/full-plan-20260719/95-admin-remaining-fresh.json</x:v>
      </x:c>
    </x:row>
    <x:row r="41">
      <x:c r="A41" s="73" t="str">
        <x:v>ADM-BILL-006</x:v>
      </x:c>
      <x:c r="B41" s="73" t="str">
        <x:v>8.6 Admin 사용자 및 시스템 설정</x:v>
      </x:c>
      <x:c r="C41" s="73" t="str">
        <x:v>admin/system/billing.html</x:v>
      </x:c>
      <x:c r="D41" s="73" t="str">
        <x:v>기대 결과 전체를 증명하는 전용 assertion 또는 구현 신호가 없음</x:v>
      </x:c>
      <x:c r="E41" s="73" t="str">
        <x:v>결제 설정의 임시 동작을 제거하고 입력·저장·재조회 흐름을 보완</x:v>
      </x:c>
      <x:c r="F41" s="73" t="str">
        <x:v>PASS - 수정 후 기대 결과와 일치</x:v>
      </x:c>
      <x:c r="G41" s="73" t="str">
        <x:v>outputs/full-plan-20260719/95-admin-remaining-fresh.json</x:v>
      </x:c>
    </x:row>
    <x:row r="42">
      <x:c r="A42" s="73" t="str">
        <x:v>ADM-BILL-008</x:v>
      </x:c>
      <x:c r="B42" s="73" t="str">
        <x:v>8.6 Admin 사용자 및 시스템 설정</x:v>
      </x:c>
      <x:c r="C42" s="73" t="str">
        <x:v>admin/system/billing.html</x:v>
      </x:c>
      <x:c r="D42" s="73" t="str">
        <x:v>업무 저장/상태 전이 대신 안내 alert만 실행되는 placeholder 구현</x:v>
      </x:c>
      <x:c r="E42" s="73" t="str">
        <x:v>결제 설정의 임시 동작을 제거하고 입력·저장·재조회 흐름을 보완</x:v>
      </x:c>
      <x:c r="F42" s="73" t="str">
        <x:v>PASS - 수정 후 기대 결과와 일치</x:v>
      </x:c>
      <x:c r="G42" s="73" t="str">
        <x:v>outputs/full-plan-20260719/95-admin-remaining-fresh.json</x:v>
      </x:c>
    </x:row>
    <x:row r="43">
      <x:c r="A43" s="73" t="str">
        <x:v>ADM-INT-008</x:v>
      </x:c>
      <x:c r="B43" s="73" t="str">
        <x:v>8.6 Admin 사용자 및 시스템 설정</x:v>
      </x:c>
      <x:c r="C43" s="73" t="str">
        <x:v>admin/system/integrations.html</x:v>
      </x:c>
      <x:c r="D43" s="73" t="str">
        <x:v>기대 결과 전체를 증명하는 전용 assertion 또는 구현 신호가 없음</x:v>
      </x:c>
      <x:c r="E43" s="73" t="str">
        <x:v>연동 설정 저장과 재조회 시 값 유지 검증을 보완</x:v>
      </x:c>
      <x:c r="F43" s="73" t="str">
        <x:v>PASS - 수정 후 기대 결과와 일치</x:v>
      </x:c>
      <x:c r="G43" s="73" t="str">
        <x:v>outputs/full-plan-20260719/95-admin-remaining-fresh.json</x:v>
      </x:c>
    </x:row>
    <x:row r="44">
      <x:c r="A44" s="73" t="str">
        <x:v>ADM-HELP-005</x:v>
      </x:c>
      <x:c r="B44" s="73" t="str">
        <x:v>8.7 Admin 헬프데스크, 공지, 감사, 프로필</x:v>
      </x:c>
      <x:c r="C44" s="73" t="str">
        <x:v>admin/system/helpdesk.html</x:v>
      </x:c>
      <x:c r="D44" s="73" t="str">
        <x:v>기대 결과 전체를 증명하는 전용 assertion 또는 구현 신호가 없음</x:v>
      </x:c>
      <x:c r="E44" s="73" t="str">
        <x:v>고객지원 티켓 처리 상태 변경과 저장 흐름을 보완</x:v>
      </x:c>
      <x:c r="F44" s="73" t="str">
        <x:v>PASS - 수정 후 기대 결과와 일치</x:v>
      </x:c>
      <x:c r="G44" s="73" t="str">
        <x:v>outputs/full-plan-20260719/95-admin-remaining-fresh.json</x:v>
      </x:c>
    </x:row>
    <x:row r="45">
      <x:c r="A45" s="73" t="str">
        <x:v>ADM-NOTICE-002</x:v>
      </x:c>
      <x:c r="B45" s="73" t="str">
        <x:v>8.7 Admin 헬프데스크, 공지, 감사, 프로필</x:v>
      </x:c>
      <x:c r="C45" s="73" t="str">
        <x:v>admin/system/notices.html</x:v>
      </x:c>
      <x:c r="D45" s="73" t="str">
        <x:v>기대 결과 전체를 증명하는 전용 assertion 또는 구현 신호가 없음</x:v>
      </x:c>
      <x:c r="E45" s="73" t="str">
        <x:v>공지 등록·수정 상태 변경과 목록 반영 흐름을 보완</x:v>
      </x:c>
      <x:c r="F45" s="73" t="str">
        <x:v>PASS - 수정 후 기대 결과와 일치</x:v>
      </x:c>
      <x:c r="G45" s="73" t="str">
        <x:v>outputs/full-plan-20260719/95-admin-remaining-fresh.json</x:v>
      </x:c>
    </x:row>
    <x:row r="46">
      <x:c r="A46" s="73" t="str">
        <x:v>ADM-LOG-001</x:v>
      </x:c>
      <x:c r="B46" s="73" t="str">
        <x:v>8.7 Admin 헬프데스크, 공지, 감사, 프로필</x:v>
      </x:c>
      <x:c r="C46" s="73" t="str">
        <x:v>admin/system/audit-logs.html</x:v>
      </x:c>
      <x:c r="D46" s="73" t="str">
        <x:v>기대하는 상태 변경을 저장할 persistence handler를 페이지에서 찾지 못함</x:v>
      </x:c>
      <x:c r="E46" s="73" t="str">
        <x:v>감사로그 조회·필터·저장 핸들러와 화면명 표기를 보완</x:v>
      </x:c>
      <x:c r="F46" s="73" t="str">
        <x:v>PASS - 수정 후 기대 결과와 일치</x:v>
      </x:c>
      <x:c r="G46" s="73" t="str">
        <x:v>outputs/full-plan-20260719/95-admin-remaining-fresh.json</x:v>
      </x:c>
    </x:row>
    <x:row r="47">
      <x:c r="A47" s="73" t="str">
        <x:v>ADM-LOG-002</x:v>
      </x:c>
      <x:c r="B47" s="73" t="str">
        <x:v>8.7 Admin 헬프데스크, 공지, 감사, 프로필</x:v>
      </x:c>
      <x:c r="C47" s="73" t="str">
        <x:v>admin/system/audit-logs.html</x:v>
      </x:c>
      <x:c r="D47" s="73" t="str">
        <x:v>기대하는 상태 변경을 저장할 persistence handler를 페이지에서 찾지 못함</x:v>
      </x:c>
      <x:c r="E47" s="73" t="str">
        <x:v>감사로그 조회·필터·저장 핸들러와 화면명 표기를 보완</x:v>
      </x:c>
      <x:c r="F47" s="73" t="str">
        <x:v>PASS - 수정 후 기대 결과와 일치</x:v>
      </x:c>
      <x:c r="G47" s="73" t="str">
        <x:v>outputs/full-plan-20260719/95-admin-remaining-fresh.json</x:v>
      </x:c>
    </x:row>
    <x:row r="48">
      <x:c r="A48" s="73" t="str">
        <x:v>ADM-PROFILE-004</x:v>
      </x:c>
      <x:c r="B48" s="73" t="str">
        <x:v>8.7 Admin 헬프데스크, 공지, 감사, 프로필</x:v>
      </x:c>
      <x:c r="C48" s="73" t="str">
        <x:v>admin/system/profile.html</x:v>
      </x:c>
      <x:c r="D48" s="73" t="str">
        <x:v>기대 결과 전체를 증명하는 전용 assertion 또는 구현 신호가 없음</x:v>
      </x:c>
      <x:c r="E48" s="73" t="str">
        <x:v>관리자 프로필 수정 저장과 재진입 시 값 유지 검증을 보완</x:v>
      </x:c>
      <x:c r="F48" s="73" t="str">
        <x:v>PASS - 수정 후 기대 결과와 일치</x:v>
      </x:c>
      <x:c r="G48" s="73" t="str">
        <x:v>outputs/full-plan-20260719/95-admin-remaining-fresh.json</x:v>
      </x:c>
    </x:row>
    <x:row r="49">
      <x:c r="A49" s="73" t="str">
        <x:v>E2E-006</x:v>
      </x:c>
      <x:c r="B49" s="73" t="str">
        <x:v>9. 교차 모듈 통합 프로세스 테스트</x:v>
      </x:c>
      <x:c r="C49" s="73" t="str"/>
      <x:c r="D49" s="73" t="str">
        <x:v>대상 제품 페이지 또는 라우트 매핑이 없음</x:v>
      </x:c>
      <x:c r="E49" s="73" t="str">
        <x:v>교차 모듈 전용 route와 상태 assertion을 연결하고 업무 흐름 전체를 재검증</x:v>
      </x:c>
      <x:c r="F49" s="73" t="str">
        <x:v>PASS - 수정 후 기대 결과와 일치</x:v>
      </x:c>
      <x:c r="G49" s="73" t="str">
        <x:v>outputs/full-plan-20260719/84-e2e.log</x:v>
      </x:c>
    </x:row>
    <x:row r="50">
      <x:c r="A50" s="73" t="str">
        <x:v>E2E-008</x:v>
      </x:c>
      <x:c r="B50" s="73" t="str">
        <x:v>9. 교차 모듈 통합 프로세스 테스트</x:v>
      </x:c>
      <x:c r="C50" s="73" t="str"/>
      <x:c r="D50" s="73" t="str">
        <x:v>대상 제품 페이지 또는 라우트 매핑이 없음</x:v>
      </x:c>
      <x:c r="E50" s="73" t="str">
        <x:v>교차 모듈 전용 route와 상태 assertion을 연결하고 업무 흐름 전체를 재검증</x:v>
      </x:c>
      <x:c r="F50" s="73" t="str">
        <x:v>PASS - 수정 후 기대 결과와 일치</x:v>
      </x:c>
      <x:c r="G50" s="73" t="str">
        <x:v>outputs/full-plan-20260719/84-e2e.log</x:v>
      </x:c>
    </x:row>
    <x:row r="51">
      <x:c r="A51" s="73" t="str">
        <x:v>E2E-009</x:v>
      </x:c>
      <x:c r="B51" s="73" t="str">
        <x:v>9. 교차 모듈 통합 프로세스 테스트</x:v>
      </x:c>
      <x:c r="C51" s="73" t="str"/>
      <x:c r="D51" s="73" t="str">
        <x:v>대상 제품 페이지 또는 라우트 매핑이 없음</x:v>
      </x:c>
      <x:c r="E51" s="73" t="str">
        <x:v>교차 모듈 전용 route와 상태 assertion을 연결하고 업무 흐름 전체를 재검증</x:v>
      </x:c>
      <x:c r="F51" s="73" t="str">
        <x:v>PASS - 수정 후 기대 결과와 일치</x:v>
      </x:c>
      <x:c r="G51" s="73" t="str">
        <x:v>outputs/full-plan-20260719/84-e2e.log</x:v>
      </x:c>
    </x:row>
    <x:row r="52">
      <x:c r="A52" s="73" t="str">
        <x:v>E2E-010</x:v>
      </x:c>
      <x:c r="B52" s="73" t="str">
        <x:v>9. 교차 모듈 통합 프로세스 테스트</x:v>
      </x:c>
      <x:c r="C52" s="73" t="str"/>
      <x:c r="D52" s="73" t="str">
        <x:v>대상 제품 페이지 또는 라우트 매핑이 없음</x:v>
      </x:c>
      <x:c r="E52" s="73" t="str">
        <x:v>교차 모듈 전용 route와 상태 assertion을 연결하고 업무 흐름 전체를 재검증</x:v>
      </x:c>
      <x:c r="F52" s="73" t="str">
        <x:v>PASS - 수정 후 기대 결과와 일치</x:v>
      </x:c>
      <x:c r="G52" s="73" t="str">
        <x:v>outputs/full-plan-20260719/84-e2e.log</x:v>
      </x:c>
    </x:row>
    <x:row r="53">
      <x:c r="A53" s="73" t="str">
        <x:v>E2E-011</x:v>
      </x:c>
      <x:c r="B53" s="73" t="str">
        <x:v>9. 교차 모듈 통합 프로세스 테스트</x:v>
      </x:c>
      <x:c r="C53" s="73" t="str"/>
      <x:c r="D53" s="73" t="str">
        <x:v>대상 제품 페이지 또는 라우트 매핑이 없음</x:v>
      </x:c>
      <x:c r="E53" s="73" t="str">
        <x:v>교차 모듈 전용 route와 상태 assertion을 연결하고 업무 흐름 전체를 재검증</x:v>
      </x:c>
      <x:c r="F53" s="73" t="str">
        <x:v>PASS - 수정 후 기대 결과와 일치</x:v>
      </x:c>
      <x:c r="G53" s="73" t="str">
        <x:v>outputs/full-plan-20260719/84-e2e.log</x:v>
      </x:c>
    </x:row>
    <x:row r="54">
      <x:c r="A54" s="73" t="str">
        <x:v>E2E-013</x:v>
      </x:c>
      <x:c r="B54" s="73" t="str">
        <x:v>9. 교차 모듈 통합 프로세스 테스트</x:v>
      </x:c>
      <x:c r="C54" s="73" t="str"/>
      <x:c r="D54" s="73" t="str">
        <x:v>대상 제품 페이지 또는 라우트 매핑이 없음</x:v>
      </x:c>
      <x:c r="E54" s="73" t="str">
        <x:v>교차 모듈 전용 route와 상태 assertion을 연결하고 업무 흐름 전체를 재검증</x:v>
      </x:c>
      <x:c r="F54" s="73" t="str">
        <x:v>PASS - 수정 후 기대 결과와 일치</x:v>
      </x:c>
      <x:c r="G54" s="73" t="str">
        <x:v>outputs/full-plan-20260719/84-e2e.log</x:v>
      </x:c>
    </x:row>
    <x:row r="55">
      <x:c r="A55" s="73" t="str">
        <x:v>E2E-015</x:v>
      </x:c>
      <x:c r="B55" s="73" t="str">
        <x:v>9. 교차 모듈 통합 프로세스 테스트</x:v>
      </x:c>
      <x:c r="C55" s="73" t="str"/>
      <x:c r="D55" s="73" t="str">
        <x:v>대상 제품 페이지 또는 라우트 매핑이 없음</x:v>
      </x:c>
      <x:c r="E55" s="73" t="str">
        <x:v>교차 모듈 전용 route와 상태 assertion을 연결하고 업무 흐름 전체를 재검증</x:v>
      </x:c>
      <x:c r="F55" s="73" t="str">
        <x:v>PASS - 수정 후 기대 결과와 일치</x:v>
      </x:c>
      <x:c r="G55" s="73" t="str">
        <x:v>outputs/full-plan-20260719/84-e2e.log</x:v>
      </x:c>
    </x:row>
    <x:row r="56">
      <x:c r="A56" s="73" t="str">
        <x:v>E2E-016</x:v>
      </x:c>
      <x:c r="B56" s="73" t="str">
        <x:v>9. 교차 모듈 통합 프로세스 테스트</x:v>
      </x:c>
      <x:c r="C56" s="73" t="str"/>
      <x:c r="D56" s="73" t="str">
        <x:v>대상 제품 페이지 또는 라우트 매핑이 없음</x:v>
      </x:c>
      <x:c r="E56" s="73" t="str">
        <x:v>교차 모듈 전용 route와 상태 assertion을 연결하고 업무 흐름 전체를 재검증</x:v>
      </x:c>
      <x:c r="F56" s="73" t="str">
        <x:v>PASS - 수정 후 기대 결과와 일치</x:v>
      </x:c>
      <x:c r="G56" s="73" t="str">
        <x:v>outputs/full-plan-20260719/84-e2e.log</x:v>
      </x:c>
    </x:row>
    <x:row r="57">
      <x:c r="A57" s="73" t="str">
        <x:v>E2E-017</x:v>
      </x:c>
      <x:c r="B57" s="73" t="str">
        <x:v>9. 교차 모듈 통합 프로세스 테스트</x:v>
      </x:c>
      <x:c r="C57" s="73" t="str"/>
      <x:c r="D57" s="73" t="str">
        <x:v>대상 제품 페이지 또는 라우트 매핑이 없음</x:v>
      </x:c>
      <x:c r="E57" s="73" t="str">
        <x:v>교차 모듈 전용 route와 상태 assertion을 연결하고 업무 흐름 전체를 재검증</x:v>
      </x:c>
      <x:c r="F57" s="73" t="str">
        <x:v>PASS - 수정 후 기대 결과와 일치</x:v>
      </x:c>
      <x:c r="G57" s="73" t="str">
        <x:v>outputs/full-plan-20260719/84-e2e.log</x:v>
      </x:c>
    </x:row>
    <x:row r="58">
      <x:c r="A58" s="73" t="str">
        <x:v>E2E-018</x:v>
      </x:c>
      <x:c r="B58" s="73" t="str">
        <x:v>9. 교차 모듈 통합 프로세스 테스트</x:v>
      </x:c>
      <x:c r="C58" s="73" t="str"/>
      <x:c r="D58" s="73" t="str">
        <x:v>대상 제품 페이지 또는 라우트 매핑이 없음</x:v>
      </x:c>
      <x:c r="E58" s="73" t="str">
        <x:v>교차 모듈 전용 route와 상태 assertion을 연결하고 업무 흐름 전체를 재검증</x:v>
      </x:c>
      <x:c r="F58" s="73" t="str">
        <x:v>PASS - 수정 후 기대 결과와 일치</x:v>
      </x:c>
      <x:c r="G58" s="73" t="str">
        <x:v>outputs/full-plan-20260719/84-e2e.log</x:v>
      </x:c>
    </x:row>
    <x:row r="59">
      <x:c r="A59" s="73" t="str">
        <x:v>E2E-019</x:v>
      </x:c>
      <x:c r="B59" s="73" t="str">
        <x:v>9. 교차 모듈 통합 프로세스 테스트</x:v>
      </x:c>
      <x:c r="C59" s="73" t="str"/>
      <x:c r="D59" s="73" t="str">
        <x:v>대상 제품 페이지 또는 라우트 매핑이 없음</x:v>
      </x:c>
      <x:c r="E59" s="73" t="str">
        <x:v>교차 모듈 전용 route와 상태 assertion을 연결하고 업무 흐름 전체를 재검증</x:v>
      </x:c>
      <x:c r="F59" s="73" t="str">
        <x:v>PASS - 수정 후 기대 결과와 일치</x:v>
      </x:c>
      <x:c r="G59" s="73" t="str">
        <x:v>outputs/full-plan-20260719/84-e2e.log</x:v>
      </x:c>
    </x:row>
    <x:row r="60">
      <x:c r="A60" s="73" t="str">
        <x:v>E2E-020</x:v>
      </x:c>
      <x:c r="B60" s="73" t="str">
        <x:v>9. 교차 모듈 통합 프로세스 테스트</x:v>
      </x:c>
      <x:c r="C60" s="73" t="str"/>
      <x:c r="D60" s="73" t="str">
        <x:v>대상 제품 페이지 또는 라우트 매핑이 없음</x:v>
      </x:c>
      <x:c r="E60" s="73" t="str">
        <x:v>교차 모듈 전용 route와 상태 assertion을 연결하고 업무 흐름 전체를 재검증</x:v>
      </x:c>
      <x:c r="F60" s="73" t="str">
        <x:v>PASS - 수정 후 기대 결과와 일치</x:v>
      </x:c>
      <x:c r="G60" s="73" t="str">
        <x:v>outputs/full-plan-20260719/84-e2e.log</x:v>
      </x:c>
    </x:row>
    <x:row r="61">
      <x:c r="A61" s="73" t="str">
        <x:v>E2E-021</x:v>
      </x:c>
      <x:c r="B61" s="73" t="str">
        <x:v>9. 교차 모듈 통합 프로세스 테스트</x:v>
      </x:c>
      <x:c r="C61" s="73" t="str"/>
      <x:c r="D61" s="73" t="str">
        <x:v>대상 제품 페이지 또는 라우트 매핑이 없음</x:v>
      </x:c>
      <x:c r="E61" s="73" t="str">
        <x:v>교차 모듈 전용 route와 상태 assertion을 연결하고 업무 흐름 전체를 재검증</x:v>
      </x:c>
      <x:c r="F61" s="73" t="str">
        <x:v>PASS - 수정 후 기대 결과와 일치</x:v>
      </x:c>
      <x:c r="G61" s="73" t="str">
        <x:v>outputs/full-plan-20260719/84-e2e.log</x:v>
      </x:c>
    </x:row>
    <x:row r="62">
      <x:c r="A62" s="73" t="str">
        <x:v>E2E-022</x:v>
      </x:c>
      <x:c r="B62" s="73" t="str">
        <x:v>9. 교차 모듈 통합 프로세스 테스트</x:v>
      </x:c>
      <x:c r="C62" s="73" t="str"/>
      <x:c r="D62" s="73" t="str">
        <x:v>대상 제품 페이지 또는 라우트 매핑이 없음</x:v>
      </x:c>
      <x:c r="E62" s="73" t="str">
        <x:v>교차 모듈 전용 route와 상태 assertion을 연결하고 업무 흐름 전체를 재검증</x:v>
      </x:c>
      <x:c r="F62" s="73" t="str">
        <x:v>PASS - 수정 후 기대 결과와 일치</x:v>
      </x:c>
      <x:c r="G62" s="73" t="str">
        <x:v>outputs/full-plan-20260719/84-e2e.log</x:v>
      </x:c>
    </x:row>
    <x:row r="63">
      <x:c r="A63" s="74" t="str">
        <x:v>E2E-023</x:v>
      </x:c>
      <x:c r="B63" s="74" t="str">
        <x:v>9. 교차 모듈 통합 프로세스 테스트</x:v>
      </x:c>
      <x:c r="C63" s="74" t="str"/>
      <x:c r="D63" s="74" t="str">
        <x:v>대상 제품 페이지 또는 라우트 매핑이 없음</x:v>
      </x:c>
      <x:c r="E63" s="74" t="str">
        <x:v>교차 모듈 전용 route와 상태 assertion을 연결하고 업무 흐름 전체를 재검증</x:v>
      </x:c>
      <x:c r="F63" s="74" t="str">
        <x:v>PASS - 수정 후 기대 결과와 일치</x:v>
      </x:c>
      <x:c r="G63" s="74" t="str">
        <x:v>outputs/full-plan-20260719/84-e2e.log</x:v>
      </x:c>
    </x:row>
  </x:sheetData>
  <x:mergeCells>
    <x:mergeCell ref="A1:G1"/>
    <x:mergeCell ref="A2:G2"/>
  </x:mergeCells>
  <x:conditionalFormatting sqref="F5:F63">
    <x:cfRule type="containsText" dxfId="4" priority="1" operator="containsText" text="PASS"/>
  </x:conditionalFormatting>
  <x:pageMargins left="0.7" right="0.7" top="0.75" bottom="0.75" header="0.3" footer="0.3"/>
  <x:tableParts count="1">
    <x:tablePart xmlns:r="http://schemas.openxmlformats.org/officeDocument/2006/relationships" r:id="R70a7a9fe127e40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3.1299991607666" hidden="0" customWidth="1"/>
    <x:col min="3" max="3" width="26.25" hidden="0" customWidth="1"/>
    <x:col min="4" max="4" width="13.75" hidden="0" customWidth="1"/>
    <x:col min="5" max="5" width="41.25" hidden="0" customWidth="1"/>
    <x:col min="6" max="6" width="41.25" hidden="0" customWidth="1"/>
    <x:col min="7" max="7" width="37.5" hidden="0" customWidth="1"/>
    <x:col min="8" max="8" width="36.25" hidden="0" customWidth="1"/>
  </x:cols>
  <x:sheetData>
    <x:row r="1" ht="33" customHeight="1">
      <x:c r="A1" s="4" t="str">
        <x:v>외부 환경 차단 항목</x:v>
      </x:c>
      <x:c r="B1" s="4"/>
      <x:c r="C1" s="4"/>
      <x:c r="D1" s="4"/>
      <x:c r="E1" s="4"/>
      <x:c r="F1" s="4"/>
      <x:c r="G1" s="4"/>
      <x:c r="H1" s="4"/>
    </x:row>
    <x:row r="2" ht="22.5" customHeight="1">
      <x:c r="A2" s="8" t="str">
        <x:v>결함·실패와 분리한 13건입니다. 실제 장치·서비스·서버 연결 후 동일 Case ID로 후속 검증합니다.</x:v>
      </x:c>
      <x:c r="B2" s="8"/>
      <x:c r="C2" s="8"/>
      <x:c r="D2" s="8"/>
      <x:c r="E2" s="8"/>
      <x:c r="F2" s="8"/>
      <x:c r="G2" s="8"/>
      <x:c r="H2" s="8"/>
    </x:row>
    <x:row r="4" ht="27" customHeight="1">
      <x:c r="A4" s="16" t="str">
        <x:v>Case ID</x:v>
      </x:c>
      <x:c r="B4" s="35" t="str">
        <x:v>영역</x:v>
      </x:c>
      <x:c r="C4" s="35" t="str">
        <x:v>페이지/범위</x:v>
      </x:c>
      <x:c r="D4" s="35" t="str">
        <x:v>차단 분류</x:v>
      </x:c>
      <x:c r="E4" s="35" t="str">
        <x:v>차단 내용</x:v>
      </x:c>
      <x:c r="F4" s="35" t="str">
        <x:v>필요한 후속 검증</x:v>
      </x:c>
      <x:c r="G4" s="35" t="str">
        <x:v>현재 확인 범위</x:v>
      </x:c>
      <x:c r="H4" s="17" t="str">
        <x:v>증적</x:v>
      </x:c>
    </x:row>
    <x:row r="5">
      <x:c r="A5" s="72" t="str">
        <x:v>RES-BOARD-019</x:v>
      </x:c>
      <x:c r="B5" s="72" t="str">
        <x:v>7.3 예약 현황</x:v>
      </x:c>
      <x:c r="C5" s="72" t="str">
        <x:v>dashboard/frontdesk/reservation-board.html</x:v>
      </x:c>
      <x:c r="D5" s="90" t="str">
        <x:v>실제 인쇄</x:v>
      </x:c>
      <x:c r="E5" s="72" t="str">
        <x:v>OS 프린터와 용지 설정이 연결되지 않은 테스트 환경</x:v>
      </x:c>
      <x:c r="F5" s="72" t="str">
        <x:v>실제 프린터에서 출력 방향·여백·페이지 수 확인</x:v>
      </x:c>
      <x:c r="G5" s="72" t="str">
        <x:v>화면·데이터·브라우저 단계까지 확인했으나 실제 인쇄 검증은 외부 환경이 필요함</x:v>
      </x:c>
      <x:c r="H5" s="72" t="str">
        <x:v>outputs/full-plan-20260719/102-functional-frontdesk.json</x:v>
      </x:c>
    </x:row>
    <x:row r="6">
      <x:c r="A6" s="73" t="str">
        <x:v>RES-LIST-007</x:v>
      </x:c>
      <x:c r="B6" s="73" t="str">
        <x:v>7.5 예약 목록 및 체크인 호환 화면</x:v>
      </x:c>
      <x:c r="C6" s="73" t="str">
        <x:v>dashboard/frontdesk/reservation-list.html</x:v>
      </x:c>
      <x:c r="D6" s="91" t="str">
        <x:v>실제 인쇄</x:v>
      </x:c>
      <x:c r="E6" s="73" t="str">
        <x:v>OS 프린터가 연결되지 않아 예약 목록 출력물의 물리 결과를 확인할 수 없음</x:v>
      </x:c>
      <x:c r="F6" s="73" t="str">
        <x:v>실제 프린터에서 단건 출력 확인</x:v>
      </x:c>
      <x:c r="G6" s="73" t="str">
        <x:v>화면·데이터·브라우저 단계까지 확인했으나 실제 인쇄 검증은 외부 환경이 필요함</x:v>
      </x:c>
      <x:c r="H6" s="73" t="str">
        <x:v>outputs/full-plan-20260719/102-functional-frontdesk.json</x:v>
      </x:c>
    </x:row>
    <x:row r="7">
      <x:c r="A7" s="73" t="str">
        <x:v>RES-LIST-008</x:v>
      </x:c>
      <x:c r="B7" s="73" t="str">
        <x:v>7.5 예약 목록 및 체크인 호환 화면</x:v>
      </x:c>
      <x:c r="C7" s="73" t="str">
        <x:v>dashboard/frontdesk/reservation-list.html</x:v>
      </x:c>
      <x:c r="D7" s="91" t="str">
        <x:v>실제 인쇄</x:v>
      </x:c>
      <x:c r="E7" s="73" t="str">
        <x:v>OS 프린터가 연결되지 않아 다건 출력물의 물리 결과를 확인할 수 없음</x:v>
      </x:c>
      <x:c r="F7" s="73" t="str">
        <x:v>실제 프린터에서 다건 연속 출력 확인</x:v>
      </x:c>
      <x:c r="G7" s="73" t="str">
        <x:v>화면·데이터·브라우저 단계까지 확인했으나 실제 인쇄 검증은 외부 환경이 필요함</x:v>
      </x:c>
      <x:c r="H7" s="73" t="str">
        <x:v>outputs/full-plan-20260719/102-functional-frontdesk.json</x:v>
      </x:c>
    </x:row>
    <x:row r="8">
      <x:c r="A8" s="73" t="str">
        <x:v>ANC-VND-014</x:v>
      </x:c>
      <x:c r="B8" s="73" t="str">
        <x:v>7.14 업체/항목 관리 및 바우처</x:v>
      </x:c>
      <x:c r="C8" s="73" t="str">
        <x:v>dashboard/operations/ancillary-vendors.html</x:v>
      </x:c>
      <x:c r="D8" s="91" t="str">
        <x:v>실제 인쇄</x:v>
      </x:c>
      <x:c r="E8" s="73" t="str">
        <x:v>OS 프린터가 연결되지 않아 바우처 실제 출력 결과를 확인할 수 없음</x:v>
      </x:c>
      <x:c r="F8" s="73" t="str">
        <x:v>골프장·렌터카·음식점 바우처 실물 출력 확인</x:v>
      </x:c>
      <x:c r="G8" s="73" t="str">
        <x:v>화면·데이터·브라우저 단계까지 확인했으나 실제 인쇄 검증은 외부 환경이 필요함</x:v>
      </x:c>
      <x:c r="H8" s="73" t="str">
        <x:v>outputs/full-plan-20260719/104-functional-operations.json</x:v>
      </x:c>
    </x:row>
    <x:row r="9">
      <x:c r="A9" s="73" t="str">
        <x:v>ANC-VND-015</x:v>
      </x:c>
      <x:c r="B9" s="73" t="str">
        <x:v>7.14 업체/항목 관리 및 바우처</x:v>
      </x:c>
      <x:c r="C9" s="73" t="str">
        <x:v>dashboard/operations/ancillary-vendors.html</x:v>
      </x:c>
      <x:c r="D9" s="91" t="str">
        <x:v>실제 인쇄</x:v>
      </x:c>
      <x:c r="E9" s="73" t="str">
        <x:v>브라우저 미리보기까지 확인했으나 물리 출력 결과는 확인 불가</x:v>
      </x:c>
      <x:c r="F9" s="73" t="str">
        <x:v>미리보기와 실물 출력의 크기·폰트·여백 비교</x:v>
      </x:c>
      <x:c r="G9" s="73" t="str">
        <x:v>화면·데이터·브라우저 단계까지 확인했으나 실제 인쇄 검증은 외부 환경이 필요함</x:v>
      </x:c>
      <x:c r="H9" s="73" t="str">
        <x:v>outputs/full-plan-20260719/104-functional-operations.json</x:v>
      </x:c>
    </x:row>
    <x:row r="10">
      <x:c r="A10" s="73" t="str">
        <x:v>SETTLE-STATUS-014</x:v>
      </x:c>
      <x:c r="B10" s="73" t="str">
        <x:v>7.16 정산 현황</x:v>
      </x:c>
      <x:c r="C10" s="73" t="str">
        <x:v>dashboard/operations/settlement-status.html</x:v>
      </x:c>
      <x:c r="D10" s="91" t="str">
        <x:v>실제 인쇄</x:v>
      </x:c>
      <x:c r="E10" s="73" t="str">
        <x:v>OS 프린터가 연결되지 않아 정산 명세서 실물 확인 불가</x:v>
      </x:c>
      <x:c r="F10" s="73" t="str">
        <x:v>정산 명세서 출력 및 통화별 표기 확인</x:v>
      </x:c>
      <x:c r="G10" s="73" t="str">
        <x:v>화면·데이터·브라우저 단계까지 확인했으나 실제 인쇄 검증은 외부 환경이 필요함</x:v>
      </x:c>
      <x:c r="H10" s="73" t="str">
        <x:v>outputs/full-plan-20260719/104-functional-operations.json</x:v>
      </x:c>
    </x:row>
    <x:row r="11">
      <x:c r="A11" s="73" t="str">
        <x:v>FOLIO-011</x:v>
      </x:c>
      <x:c r="B11" s="73" t="str">
        <x:v>7.17 정산 목록</x:v>
      </x:c>
      <x:c r="C11" s="73" t="str">
        <x:v>dashboard/operations/folio.html</x:v>
      </x:c>
      <x:c r="D11" s="91" t="str">
        <x:v>실제 인쇄</x:v>
      </x:c>
      <x:c r="E11" s="73" t="str">
        <x:v>OS 프린터가 연결되지 않아 Folio 실물 출력 확인 불가</x:v>
      </x:c>
      <x:c r="F11" s="73" t="str">
        <x:v>Folio 출력의 항목·합계·페이지 분할 확인</x:v>
      </x:c>
      <x:c r="G11" s="73" t="str">
        <x:v>화면·데이터·브라우저 단계까지 확인했으나 실제 인쇄 검증은 외부 환경이 필요함</x:v>
      </x:c>
      <x:c r="H11" s="73" t="str">
        <x:v>outputs/full-plan-20260719/104-functional-operations.json</x:v>
      </x:c>
    </x:row>
    <x:row r="12">
      <x:c r="A12" s="73" t="str">
        <x:v>AUDIT-010</x:v>
      </x:c>
      <x:c r="B12" s="73" t="str">
        <x:v>7.19 일일 마감 및 마감 로그</x:v>
      </x:c>
      <x:c r="C12" s="73" t="str">
        <x:v>dashboard/operations/night-audit.html</x:v>
      </x:c>
      <x:c r="D12" s="91" t="str">
        <x:v>실제 인쇄</x:v>
      </x:c>
      <x:c r="E12" s="73" t="str">
        <x:v>OS 프린터가 연결되지 않아 마감 문서 실물 출력 확인 불가</x:v>
      </x:c>
      <x:c r="F12" s="73" t="str">
        <x:v>일일 마감 출력물의 합계와 페이지 구성 확인</x:v>
      </x:c>
      <x:c r="G12" s="73" t="str">
        <x:v>화면·데이터·브라우저 단계까지 확인했으나 실제 인쇄 검증은 외부 환경이 필요함</x:v>
      </x:c>
      <x:c r="H12" s="73" t="str">
        <x:v>outputs/full-plan-20260719/104-functional-operations.json</x:v>
      </x:c>
    </x:row>
    <x:row r="13">
      <x:c r="A13" s="73" t="str">
        <x:v>ADM-TEN-REG-007</x:v>
      </x:c>
      <x:c r="B13" s="73" t="str">
        <x:v>8.4 호텔사 등록 및 입점 신청</x:v>
      </x:c>
      <x:c r="C13" s="73" t="str">
        <x:v>admin/tenants/register.html</x:v>
      </x:c>
      <x:c r="D13" s="91" t="str">
        <x:v>외부 메일</x:v>
      </x:c>
      <x:c r="E13" s="73" t="str">
        <x:v>실제 메일 발송·수신 환경이 연결되지 않음</x:v>
      </x:c>
      <x:c r="F13" s="73" t="str">
        <x:v>실제 SMTP 또는 메일 서비스에서 초대 메일 수신 확인</x:v>
      </x:c>
      <x:c r="G13" s="73" t="str">
        <x:v>화면·데이터·브라우저 단계까지 확인했으나 외부 메일 검증은 외부 환경이 필요함</x:v>
      </x:c>
      <x:c r="H13" s="73" t="str">
        <x:v>outputs/full-plan-20260719/94-admin-direct-fresh.json</x:v>
      </x:c>
    </x:row>
    <x:row r="14">
      <x:c r="A14" s="73" t="str">
        <x:v>ADM-USER-008</x:v>
      </x:c>
      <x:c r="B14" s="73" t="str">
        <x:v>8.6 Admin 사용자 및 시스템 설정</x:v>
      </x:c>
      <x:c r="C14" s="73" t="str">
        <x:v>admin/system/users.html</x:v>
      </x:c>
      <x:c r="D14" s="91" t="str">
        <x:v>서버 권한</x:v>
      </x:c>
      <x:c r="E14" s="73" t="str">
        <x:v>정적 JSON·localStorage 데모에서는 실제 Admin API 서버의 역할 강제 검증이 불가능함</x:v>
      </x:c>
      <x:c r="F14" s="73" t="str">
        <x:v>실제 Admin API 서버에서 권한 없는 계정의 요청 거부 확인</x:v>
      </x:c>
      <x:c r="G14" s="73" t="str">
        <x:v>화면·데이터·브라우저 단계까지 확인했으나 서버 권한 검증은 외부 환경이 필요함</x:v>
      </x:c>
      <x:c r="H14" s="73" t="str">
        <x:v>outputs/full-plan-20260719/97-gap-fixes-full-fresh.json</x:v>
      </x:c>
    </x:row>
    <x:row r="15">
      <x:c r="A15" s="73" t="str">
        <x:v>ADM-INT-003</x:v>
      </x:c>
      <x:c r="B15" s="73" t="str">
        <x:v>8.6 Admin 사용자 및 시스템 설정</x:v>
      </x:c>
      <x:c r="C15" s="73" t="str">
        <x:v>admin/system/integrations.html</x:v>
      </x:c>
      <x:c r="D15" s="91" t="str">
        <x:v>외부 연동</x:v>
      </x:c>
      <x:c r="E15" s="73" t="str">
        <x:v>실제 외부 endpoint가 연결되지 않음</x:v>
      </x:c>
      <x:c r="F15" s="73" t="str">
        <x:v>실제 연동 endpoint에서 요청·응답·오류 처리 확인</x:v>
      </x:c>
      <x:c r="G15" s="73" t="str">
        <x:v>화면·데이터·브라우저 단계까지 확인했으나 외부 연동 검증은 외부 환경이 필요함</x:v>
      </x:c>
      <x:c r="H15" s="73" t="str">
        <x:v>outputs/full-plan-20260719/95-admin-remaining-fresh.json</x:v>
      </x:c>
    </x:row>
    <x:row r="16">
      <x:c r="A16" s="73" t="str">
        <x:v>ADM-INT-005</x:v>
      </x:c>
      <x:c r="B16" s="73" t="str">
        <x:v>8.6 Admin 사용자 및 시스템 설정</x:v>
      </x:c>
      <x:c r="C16" s="73" t="str">
        <x:v>admin/system/integrations.html</x:v>
      </x:c>
      <x:c r="D16" s="91" t="str">
        <x:v>외부 연동</x:v>
      </x:c>
      <x:c r="E16" s="73" t="str">
        <x:v>실제 webhook 재시도 대상 서버가 연결되지 않음</x:v>
      </x:c>
      <x:c r="F16" s="73" t="str">
        <x:v>실제 webhook 실패·재시도·성공 전환 확인</x:v>
      </x:c>
      <x:c r="G16" s="73" t="str">
        <x:v>화면·데이터·브라우저 단계까지 확인했으나 외부 연동 검증은 외부 환경이 필요함</x:v>
      </x:c>
      <x:c r="H16" s="73" t="str">
        <x:v>outputs/full-plan-20260719/95-admin-remaining-fresh.json</x:v>
      </x:c>
    </x:row>
    <x:row r="17">
      <x:c r="A17" s="74" t="str">
        <x:v>I18N-012</x:v>
      </x:c>
      <x:c r="B17" s="74" t="str">
        <x:v>11. 다국어 전수 테스트</x:v>
      </x:c>
      <x:c r="C17" s="74" t="str"/>
      <x:c r="D17" s="92" t="str">
        <x:v>외부 앱</x:v>
      </x:c>
      <x:c r="E17" s="74" t="str">
        <x:v>실제 Excel·인쇄 응용프로그램의 최종 렌더링은 브라우저 테스트로 확인할 수 없음</x:v>
      </x:c>
      <x:c r="F17" s="74" t="str">
        <x:v>Excel 및 인쇄 응용프로그램에서 제목·날짜·언어 렌더링 확인</x:v>
      </x:c>
      <x:c r="G17" s="74" t="str">
        <x:v>화면·데이터·브라우저 단계까지 확인했으나 외부 앱 검증은 외부 환경이 필요함</x:v>
      </x:c>
      <x:c r="H17" s="74" t="str">
        <x:v>outputs/full-plan-20260719/77-i18n.log</x:v>
      </x:c>
    </x:row>
  </x:sheetData>
  <x:mergeCells>
    <x:mergeCell ref="A1:H1"/>
    <x:mergeCell ref="A2:H2"/>
  </x:mergeCells>
  <x:pageMargins left="0.7" right="0.7" top="0.75" bottom="0.75" header="0.3" footer="0.3"/>
  <x:tableParts count="1">
    <x:tablePart xmlns:r="http://schemas.openxmlformats.org/officeDocument/2006/relationships" r:id="R866e246adb5d44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3.75" hidden="0" customWidth="1"/>
    <x:col min="2" max="2" width="11.25" hidden="0" customWidth="1"/>
    <x:col min="3" max="3" width="11.25" hidden="0" customWidth="1"/>
    <x:col min="4" max="4" width="11.25" hidden="0" customWidth="1"/>
    <x:col min="5" max="5" width="12.5" hidden="0" customWidth="1"/>
    <x:col min="6" max="6" width="13.75" hidden="0" customWidth="1"/>
    <x:col min="7" max="7" width="15" hidden="0" customWidth="1"/>
  </x:cols>
  <x:sheetData>
    <x:row r="1" ht="33" customHeight="1">
      <x:c r="A1" s="4" t="str">
        <x:v>영역별 결과 요약</x:v>
      </x:c>
      <x:c r="B1" s="4"/>
      <x:c r="C1" s="4"/>
      <x:c r="D1" s="4"/>
      <x:c r="E1" s="4"/>
      <x:c r="F1" s="4"/>
      <x:c r="G1" s="4"/>
    </x:row>
    <x:row r="2" ht="22.5" customHeight="1">
      <x:c r="A2" s="8" t="str">
        <x:v>전체 케이스 시트의 최종 판정을 참조하는 수식 기반 집계입니다.</x:v>
      </x:c>
      <x:c r="B2" s="8"/>
      <x:c r="C2" s="8"/>
      <x:c r="D2" s="8"/>
      <x:c r="E2" s="8"/>
      <x:c r="F2" s="8"/>
      <x:c r="G2" s="8"/>
    </x:row>
    <x:row r="4" ht="27" customHeight="1">
      <x:c r="A4" s="16" t="str">
        <x:v>영역</x:v>
      </x:c>
      <x:c r="B4" s="35" t="str">
        <x:v>전체</x:v>
      </x:c>
      <x:c r="C4" s="35" t="str">
        <x:v>PASS</x:v>
      </x:c>
      <x:c r="D4" s="35" t="str">
        <x:v>FAIL</x:v>
      </x:c>
      <x:c r="E4" s="35" t="str">
        <x:v>BLOCKED</x:v>
      </x:c>
      <x:c r="F4" s="35" t="str">
        <x:v>수정 완료</x:v>
      </x:c>
      <x:c r="G4" s="17" t="str">
        <x:v>실행 성공률</x:v>
      </x:c>
    </x:row>
    <x:row r="5">
      <x:c r="A5" s="72" t="str">
        <x:v>6. 모든 페이지 공통 테스트 케이스</x:v>
      </x:c>
      <x:c r="B5" s="75" t="n">
        <x:f>COUNTIF('01_전체케이스'!$C$5:$C$677,A5)</x:f>
        <x:v>20</x:v>
      </x:c>
      <x:c r="C5" s="75" t="n">
        <x:f>COUNTIFS('01_전체케이스'!$C$5:$C$677,A5,'01_전체케이스'!$I$5:$I$677,"PASS")</x:f>
        <x:v>20</x:v>
      </x:c>
      <x:c r="D5" s="75" t="n">
        <x:f>COUNTIFS('01_전체케이스'!$C$5:$C$677,A5,'01_전체케이스'!$I$5:$I$677,"FAIL")</x:f>
        <x:v>0</x:v>
      </x:c>
      <x:c r="E5" s="75" t="n">
        <x:f>COUNTIFS('01_전체케이스'!$C$5:$C$677,A5,'01_전체케이스'!$I$5:$I$677,"BLOCKED")</x:f>
        <x:v>0</x:v>
      </x:c>
      <x:c r="F5" s="75" t="n">
        <x:f>COUNTIFS('01_전체케이스'!$C$5:$C$677,A5,'01_전체케이스'!$K$5:$K$677,"수정 완료")</x:f>
        <x:v>0</x:v>
      </x:c>
      <x:c r="G5" s="93" t="n">
        <x:f>IFERROR(C5/(B5-E5),0)</x:f>
        <x:v>1</x:v>
      </x:c>
    </x:row>
    <x:row r="6">
      <x:c r="A6" s="73" t="str">
        <x:v>7.1 로그인 및 공통 내비게이션</x:v>
      </x:c>
      <x:c r="B6" s="76" t="n">
        <x:f>COUNTIF('01_전체케이스'!$C$5:$C$677,A6)</x:f>
        <x:v>12</x:v>
      </x:c>
      <x:c r="C6" s="76" t="n">
        <x:f>COUNTIFS('01_전체케이스'!$C$5:$C$677,A6,'01_전체케이스'!$I$5:$I$677,"PASS")</x:f>
        <x:v>12</x:v>
      </x:c>
      <x:c r="D6" s="76" t="n">
        <x:f>COUNTIFS('01_전체케이스'!$C$5:$C$677,A6,'01_전체케이스'!$I$5:$I$677,"FAIL")</x:f>
        <x:v>0</x:v>
      </x:c>
      <x:c r="E6" s="76" t="n">
        <x:f>COUNTIFS('01_전체케이스'!$C$5:$C$677,A6,'01_전체케이스'!$I$5:$I$677,"BLOCKED")</x:f>
        <x:v>0</x:v>
      </x:c>
      <x:c r="F6" s="76" t="n">
        <x:f>COUNTIFS('01_전체케이스'!$C$5:$C$677,A6,'01_전체케이스'!$K$5:$K$677,"수정 완료")</x:f>
        <x:v>3</x:v>
      </x:c>
      <x:c r="G6" s="94" t="n">
        <x:f>IFERROR(C6/(B6-E6),0)</x:f>
        <x:v>1</x:v>
      </x:c>
    </x:row>
    <x:row r="7">
      <x:c r="A7" s="73" t="str">
        <x:v>7.2 대시보드 및 알림</x:v>
      </x:c>
      <x:c r="B7" s="76" t="n">
        <x:f>COUNTIF('01_전체케이스'!$C$5:$C$677,A7)</x:f>
        <x:v>16</x:v>
      </x:c>
      <x:c r="C7" s="76" t="n">
        <x:f>COUNTIFS('01_전체케이스'!$C$5:$C$677,A7,'01_전체케이스'!$I$5:$I$677,"PASS")</x:f>
        <x:v>16</x:v>
      </x:c>
      <x:c r="D7" s="76" t="n">
        <x:f>COUNTIFS('01_전체케이스'!$C$5:$C$677,A7,'01_전체케이스'!$I$5:$I$677,"FAIL")</x:f>
        <x:v>0</x:v>
      </x:c>
      <x:c r="E7" s="76" t="n">
        <x:f>COUNTIFS('01_전체케이스'!$C$5:$C$677,A7,'01_전체케이스'!$I$5:$I$677,"BLOCKED")</x:f>
        <x:v>0</x:v>
      </x:c>
      <x:c r="F7" s="76" t="n">
        <x:f>COUNTIFS('01_전체케이스'!$C$5:$C$677,A7,'01_전체케이스'!$K$5:$K$677,"수정 완료")</x:f>
        <x:v>0</x:v>
      </x:c>
      <x:c r="G7" s="94" t="n">
        <x:f>IFERROR(C7/(B7-E7),0)</x:f>
        <x:v>1</x:v>
      </x:c>
    </x:row>
    <x:row r="8">
      <x:c r="A8" s="73" t="str">
        <x:v>7.3 예약 현황</x:v>
      </x:c>
      <x:c r="B8" s="76" t="n">
        <x:f>COUNTIF('01_전체케이스'!$C$5:$C$677,A8)</x:f>
        <x:v>22</x:v>
      </x:c>
      <x:c r="C8" s="76" t="n">
        <x:f>COUNTIFS('01_전체케이스'!$C$5:$C$677,A8,'01_전체케이스'!$I$5:$I$677,"PASS")</x:f>
        <x:v>21</x:v>
      </x:c>
      <x:c r="D8" s="76" t="n">
        <x:f>COUNTIFS('01_전체케이스'!$C$5:$C$677,A8,'01_전체케이스'!$I$5:$I$677,"FAIL")</x:f>
        <x:v>0</x:v>
      </x:c>
      <x:c r="E8" s="76" t="n">
        <x:f>COUNTIFS('01_전체케이스'!$C$5:$C$677,A8,'01_전체케이스'!$I$5:$I$677,"BLOCKED")</x:f>
        <x:v>1</x:v>
      </x:c>
      <x:c r="F8" s="76" t="n">
        <x:f>COUNTIFS('01_전체케이스'!$C$5:$C$677,A8,'01_전체케이스'!$K$5:$K$677,"수정 완료")</x:f>
        <x:v>0</x:v>
      </x:c>
      <x:c r="G8" s="94" t="n">
        <x:f>IFERROR(C8/(B8-E8),0)</x:f>
        <x:v>1</x:v>
      </x:c>
    </x:row>
    <x:row r="9">
      <x:c r="A9" s="73" t="str">
        <x:v>7.4 예약 타임라인</x:v>
      </x:c>
      <x:c r="B9" s="76" t="n">
        <x:f>COUNTIF('01_전체케이스'!$C$5:$C$677,A9)</x:f>
        <x:v>10</x:v>
      </x:c>
      <x:c r="C9" s="76" t="n">
        <x:f>COUNTIFS('01_전체케이스'!$C$5:$C$677,A9,'01_전체케이스'!$I$5:$I$677,"PASS")</x:f>
        <x:v>10</x:v>
      </x:c>
      <x:c r="D9" s="76" t="n">
        <x:f>COUNTIFS('01_전체케이스'!$C$5:$C$677,A9,'01_전체케이스'!$I$5:$I$677,"FAIL")</x:f>
        <x:v>0</x:v>
      </x:c>
      <x:c r="E9" s="76" t="n">
        <x:f>COUNTIFS('01_전체케이스'!$C$5:$C$677,A9,'01_전체케이스'!$I$5:$I$677,"BLOCKED")</x:f>
        <x:v>0</x:v>
      </x:c>
      <x:c r="F9" s="76" t="n">
        <x:f>COUNTIFS('01_전체케이스'!$C$5:$C$677,A9,'01_전체케이스'!$K$5:$K$677,"수정 완료")</x:f>
        <x:v>0</x:v>
      </x:c>
      <x:c r="G9" s="94" t="n">
        <x:f>IFERROR(C9/(B9-E9),0)</x:f>
        <x:v>1</x:v>
      </x:c>
    </x:row>
    <x:row r="10">
      <x:c r="A10" s="73" t="str">
        <x:v>7.5 예약 목록 및 체크인 호환 화면</x:v>
      </x:c>
      <x:c r="B10" s="76" t="n">
        <x:f>COUNTIF('01_전체케이스'!$C$5:$C$677,A10)</x:f>
        <x:v>17</x:v>
      </x:c>
      <x:c r="C10" s="76" t="n">
        <x:f>COUNTIFS('01_전체케이스'!$C$5:$C$677,A10,'01_전체케이스'!$I$5:$I$677,"PASS")</x:f>
        <x:v>15</x:v>
      </x:c>
      <x:c r="D10" s="76" t="n">
        <x:f>COUNTIFS('01_전체케이스'!$C$5:$C$677,A10,'01_전체케이스'!$I$5:$I$677,"FAIL")</x:f>
        <x:v>0</x:v>
      </x:c>
      <x:c r="E10" s="76" t="n">
        <x:f>COUNTIFS('01_전체케이스'!$C$5:$C$677,A10,'01_전체케이스'!$I$5:$I$677,"BLOCKED")</x:f>
        <x:v>2</x:v>
      </x:c>
      <x:c r="F10" s="76" t="n">
        <x:f>COUNTIFS('01_전체케이스'!$C$5:$C$677,A10,'01_전체케이스'!$K$5:$K$677,"수정 완료")</x:f>
        <x:v>0</x:v>
      </x:c>
      <x:c r="G10" s="94" t="n">
        <x:f>IFERROR(C10/(B10-E10),0)</x:f>
        <x:v>1</x:v>
      </x:c>
    </x:row>
    <x:row r="11">
      <x:c r="A11" s="73" t="str">
        <x:v>7.6 단체/행사 목록</x:v>
      </x:c>
      <x:c r="B11" s="76" t="n">
        <x:f>COUNTIF('01_전체케이스'!$C$5:$C$677,A11)</x:f>
        <x:v>12</x:v>
      </x:c>
      <x:c r="C11" s="76" t="n">
        <x:f>COUNTIFS('01_전체케이스'!$C$5:$C$677,A11,'01_전체케이스'!$I$5:$I$677,"PASS")</x:f>
        <x:v>12</x:v>
      </x:c>
      <x:c r="D11" s="76" t="n">
        <x:f>COUNTIFS('01_전체케이스'!$C$5:$C$677,A11,'01_전체케이스'!$I$5:$I$677,"FAIL")</x:f>
        <x:v>0</x:v>
      </x:c>
      <x:c r="E11" s="76" t="n">
        <x:f>COUNTIFS('01_전체케이스'!$C$5:$C$677,A11,'01_전체케이스'!$I$5:$I$677,"BLOCKED")</x:f>
        <x:v>0</x:v>
      </x:c>
      <x:c r="F11" s="76" t="n">
        <x:f>COUNTIFS('01_전체케이스'!$C$5:$C$677,A11,'01_전체케이스'!$K$5:$K$677,"수정 완료")</x:f>
        <x:v>0</x:v>
      </x:c>
      <x:c r="G11" s="94" t="n">
        <x:f>IFERROR(C11/(B11-E11),0)</x:f>
        <x:v>1</x:v>
      </x:c>
    </x:row>
    <x:row r="12">
      <x:c r="A12" s="73" t="str">
        <x:v>7.7 단체 행사 상세</x:v>
      </x:c>
      <x:c r="B12" s="76" t="n">
        <x:f>COUNTIF('01_전체케이스'!$C$5:$C$677,A12)</x:f>
        <x:v>25</x:v>
      </x:c>
      <x:c r="C12" s="76" t="n">
        <x:f>COUNTIFS('01_전체케이스'!$C$5:$C$677,A12,'01_전체케이스'!$I$5:$I$677,"PASS")</x:f>
        <x:v>25</x:v>
      </x:c>
      <x:c r="D12" s="76" t="n">
        <x:f>COUNTIFS('01_전체케이스'!$C$5:$C$677,A12,'01_전체케이스'!$I$5:$I$677,"FAIL")</x:f>
        <x:v>0</x:v>
      </x:c>
      <x:c r="E12" s="76" t="n">
        <x:f>COUNTIFS('01_전체케이스'!$C$5:$C$677,A12,'01_전체케이스'!$I$5:$I$677,"BLOCKED")</x:f>
        <x:v>0</x:v>
      </x:c>
      <x:c r="F12" s="76" t="n">
        <x:f>COUNTIFS('01_전체케이스'!$C$5:$C$677,A12,'01_전체케이스'!$K$5:$K$677,"수정 완료")</x:f>
        <x:v>0</x:v>
      </x:c>
      <x:c r="G12" s="94" t="n">
        <x:f>IFERROR(C12/(B12-E12),0)</x:f>
        <x:v>1</x:v>
      </x:c>
    </x:row>
    <x:row r="13">
      <x:c r="A13" s="73" t="str">
        <x:v>7.8 단체 업체 관리 및 거래 통계</x:v>
      </x:c>
      <x:c r="B13" s="76" t="n">
        <x:f>COUNTIF('01_전체케이스'!$C$5:$C$677,A13)</x:f>
        <x:v>15</x:v>
      </x:c>
      <x:c r="C13" s="76" t="n">
        <x:f>COUNTIFS('01_전체케이스'!$C$5:$C$677,A13,'01_전체케이스'!$I$5:$I$677,"PASS")</x:f>
        <x:v>15</x:v>
      </x:c>
      <x:c r="D13" s="76" t="n">
        <x:f>COUNTIFS('01_전체케이스'!$C$5:$C$677,A13,'01_전체케이스'!$I$5:$I$677,"FAIL")</x:f>
        <x:v>0</x:v>
      </x:c>
      <x:c r="E13" s="76" t="n">
        <x:f>COUNTIFS('01_전체케이스'!$C$5:$C$677,A13,'01_전체케이스'!$I$5:$I$677,"BLOCKED")</x:f>
        <x:v>0</x:v>
      </x:c>
      <x:c r="F13" s="76" t="n">
        <x:f>COUNTIFS('01_전체케이스'!$C$5:$C$677,A13,'01_전체케이스'!$K$5:$K$677,"수정 완료")</x:f>
        <x:v>0</x:v>
      </x:c>
      <x:c r="G13" s="94" t="n">
        <x:f>IFERROR(C13/(B13-E13),0)</x:f>
        <x:v>1</x:v>
      </x:c>
    </x:row>
    <x:row r="14">
      <x:c r="A14" s="73" t="str">
        <x:v>7.9 객실 유형 및 객실 관리</x:v>
      </x:c>
      <x:c r="B14" s="76" t="n">
        <x:f>COUNTIF('01_전체케이스'!$C$5:$C$677,A14)</x:f>
        <x:v>15</x:v>
      </x:c>
      <x:c r="C14" s="76" t="n">
        <x:f>COUNTIFS('01_전체케이스'!$C$5:$C$677,A14,'01_전체케이스'!$I$5:$I$677,"PASS")</x:f>
        <x:v>15</x:v>
      </x:c>
      <x:c r="D14" s="76" t="n">
        <x:f>COUNTIFS('01_전체케이스'!$C$5:$C$677,A14,'01_전체케이스'!$I$5:$I$677,"FAIL")</x:f>
        <x:v>0</x:v>
      </x:c>
      <x:c r="E14" s="76" t="n">
        <x:f>COUNTIFS('01_전체케이스'!$C$5:$C$677,A14,'01_전체케이스'!$I$5:$I$677,"BLOCKED")</x:f>
        <x:v>0</x:v>
      </x:c>
      <x:c r="F14" s="76" t="n">
        <x:f>COUNTIFS('01_전체케이스'!$C$5:$C$677,A14,'01_전체케이스'!$K$5:$K$677,"수정 완료")</x:f>
        <x:v>0</x:v>
      </x:c>
      <x:c r="G14" s="94" t="n">
        <x:f>IFERROR(C14/(B14-E14),0)</x:f>
        <x:v>1</x:v>
      </x:c>
    </x:row>
    <x:row r="15">
      <x:c r="A15" s="73" t="str">
        <x:v>7.10 요금 캘린더</x:v>
      </x:c>
      <x:c r="B15" s="76" t="n">
        <x:f>COUNTIF('01_전체케이스'!$C$5:$C$677,A15)</x:f>
        <x:v>10</x:v>
      </x:c>
      <x:c r="C15" s="76" t="n">
        <x:f>COUNTIFS('01_전체케이스'!$C$5:$C$677,A15,'01_전체케이스'!$I$5:$I$677,"PASS")</x:f>
        <x:v>10</x:v>
      </x:c>
      <x:c r="D15" s="76" t="n">
        <x:f>COUNTIFS('01_전체케이스'!$C$5:$C$677,A15,'01_전체케이스'!$I$5:$I$677,"FAIL")</x:f>
        <x:v>0</x:v>
      </x:c>
      <x:c r="E15" s="76" t="n">
        <x:f>COUNTIFS('01_전체케이스'!$C$5:$C$677,A15,'01_전체케이스'!$I$5:$I$677,"BLOCKED")</x:f>
        <x:v>0</x:v>
      </x:c>
      <x:c r="F15" s="76" t="n">
        <x:f>COUNTIFS('01_전체케이스'!$C$5:$C$677,A15,'01_전체케이스'!$K$5:$K$677,"수정 완료")</x:f>
        <x:v>0</x:v>
      </x:c>
      <x:c r="G15" s="94" t="n">
        <x:f>IFERROR(C15/(B15-E15),0)</x:f>
        <x:v>1</x:v>
      </x:c>
    </x:row>
    <x:row r="16">
      <x:c r="A16" s="73" t="str">
        <x:v>7.11 하우스키핑</x:v>
      </x:c>
      <x:c r="B16" s="76" t="n">
        <x:f>COUNTIF('01_전체케이스'!$C$5:$C$677,A16)</x:f>
        <x:v>12</x:v>
      </x:c>
      <x:c r="C16" s="76" t="n">
        <x:f>COUNTIFS('01_전체케이스'!$C$5:$C$677,A16,'01_전체케이스'!$I$5:$I$677,"PASS")</x:f>
        <x:v>12</x:v>
      </x:c>
      <x:c r="D16" s="76" t="n">
        <x:f>COUNTIFS('01_전체케이스'!$C$5:$C$677,A16,'01_전체케이스'!$I$5:$I$677,"FAIL")</x:f>
        <x:v>0</x:v>
      </x:c>
      <x:c r="E16" s="76" t="n">
        <x:f>COUNTIFS('01_전체케이스'!$C$5:$C$677,A16,'01_전체케이스'!$I$5:$I$677,"BLOCKED")</x:f>
        <x:v>0</x:v>
      </x:c>
      <x:c r="F16" s="76" t="n">
        <x:f>COUNTIFS('01_전체케이스'!$C$5:$C$677,A16,'01_전체케이스'!$K$5:$K$677,"수정 완료")</x:f>
        <x:v>5</x:v>
      </x:c>
      <x:c r="G16" s="94" t="n">
        <x:f>IFERROR(C16/(B16-E16),0)</x:f>
        <x:v>1</x:v>
      </x:c>
    </x:row>
    <x:row r="17">
      <x:c r="A17" s="73" t="str">
        <x:v>7.12 시설 보수</x:v>
      </x:c>
      <x:c r="B17" s="76" t="n">
        <x:f>COUNTIF('01_전체케이스'!$C$5:$C$677,A17)</x:f>
        <x:v>12</x:v>
      </x:c>
      <x:c r="C17" s="76" t="n">
        <x:f>COUNTIFS('01_전체케이스'!$C$5:$C$677,A17,'01_전체케이스'!$I$5:$I$677,"PASS")</x:f>
        <x:v>12</x:v>
      </x:c>
      <x:c r="D17" s="76" t="n">
        <x:f>COUNTIFS('01_전체케이스'!$C$5:$C$677,A17,'01_전체케이스'!$I$5:$I$677,"FAIL")</x:f>
        <x:v>0</x:v>
      </x:c>
      <x:c r="E17" s="76" t="n">
        <x:f>COUNTIFS('01_전체케이스'!$C$5:$C$677,A17,'01_전체케이스'!$I$5:$I$677,"BLOCKED")</x:f>
        <x:v>0</x:v>
      </x:c>
      <x:c r="F17" s="76" t="n">
        <x:f>COUNTIFS('01_전체케이스'!$C$5:$C$677,A17,'01_전체케이스'!$K$5:$K$677,"수정 완료")</x:f>
        <x:v>8</x:v>
      </x:c>
      <x:c r="G17" s="94" t="n">
        <x:f>IFERROR(C17/(B17-E17),0)</x:f>
        <x:v>1</x:v>
      </x:c>
    </x:row>
    <x:row r="18">
      <x:c r="A18" s="73" t="str">
        <x:v>7.13 부가서비스 등록</x:v>
      </x:c>
      <x:c r="B18" s="76" t="n">
        <x:f>COUNTIF('01_전체케이스'!$C$5:$C$677,A18)</x:f>
        <x:v>22</x:v>
      </x:c>
      <x:c r="C18" s="76" t="n">
        <x:f>COUNTIFS('01_전체케이스'!$C$5:$C$677,A18,'01_전체케이스'!$I$5:$I$677,"PASS")</x:f>
        <x:v>22</x:v>
      </x:c>
      <x:c r="D18" s="76" t="n">
        <x:f>COUNTIFS('01_전체케이스'!$C$5:$C$677,A18,'01_전체케이스'!$I$5:$I$677,"FAIL")</x:f>
        <x:v>0</x:v>
      </x:c>
      <x:c r="E18" s="76" t="n">
        <x:f>COUNTIFS('01_전체케이스'!$C$5:$C$677,A18,'01_전체케이스'!$I$5:$I$677,"BLOCKED")</x:f>
        <x:v>0</x:v>
      </x:c>
      <x:c r="F18" s="76" t="n">
        <x:f>COUNTIFS('01_전체케이스'!$C$5:$C$677,A18,'01_전체케이스'!$K$5:$K$677,"수정 완료")</x:f>
        <x:v>0</x:v>
      </x:c>
      <x:c r="G18" s="94" t="n">
        <x:f>IFERROR(C18/(B18-E18),0)</x:f>
        <x:v>1</x:v>
      </x:c>
    </x:row>
    <x:row r="19">
      <x:c r="A19" s="73" t="str">
        <x:v>7.14 업체/항목 관리 및 바우처</x:v>
      </x:c>
      <x:c r="B19" s="76" t="n">
        <x:f>COUNTIF('01_전체케이스'!$C$5:$C$677,A19)</x:f>
        <x:v>18</x:v>
      </x:c>
      <x:c r="C19" s="76" t="n">
        <x:f>COUNTIFS('01_전체케이스'!$C$5:$C$677,A19,'01_전체케이스'!$I$5:$I$677,"PASS")</x:f>
        <x:v>16</x:v>
      </x:c>
      <x:c r="D19" s="76" t="n">
        <x:f>COUNTIFS('01_전체케이스'!$C$5:$C$677,A19,'01_전체케이스'!$I$5:$I$677,"FAIL")</x:f>
        <x:v>0</x:v>
      </x:c>
      <x:c r="E19" s="76" t="n">
        <x:f>COUNTIFS('01_전체케이스'!$C$5:$C$677,A19,'01_전체케이스'!$I$5:$I$677,"BLOCKED")</x:f>
        <x:v>2</x:v>
      </x:c>
      <x:c r="F19" s="76" t="n">
        <x:f>COUNTIFS('01_전체케이스'!$C$5:$C$677,A19,'01_전체케이스'!$K$5:$K$677,"수정 완료")</x:f>
        <x:v>0</x:v>
      </x:c>
      <x:c r="G19" s="94" t="n">
        <x:f>IFERROR(C19/(B19-E19),0)</x:f>
        <x:v>1</x:v>
      </x:c>
    </x:row>
    <x:row r="20">
      <x:c r="A20" s="73" t="str">
        <x:v>7.15 부가서비스 호환 화면</x:v>
      </x:c>
      <x:c r="B20" s="76" t="n">
        <x:f>COUNTIF('01_전체케이스'!$C$5:$C$677,A20)</x:f>
        <x:v>10</x:v>
      </x:c>
      <x:c r="C20" s="76" t="n">
        <x:f>COUNTIFS('01_전체케이스'!$C$5:$C$677,A20,'01_전체케이스'!$I$5:$I$677,"PASS")</x:f>
        <x:v>10</x:v>
      </x:c>
      <x:c r="D20" s="76" t="n">
        <x:f>COUNTIFS('01_전체케이스'!$C$5:$C$677,A20,'01_전체케이스'!$I$5:$I$677,"FAIL")</x:f>
        <x:v>0</x:v>
      </x:c>
      <x:c r="E20" s="76" t="n">
        <x:f>COUNTIFS('01_전체케이스'!$C$5:$C$677,A20,'01_전체케이스'!$I$5:$I$677,"BLOCKED")</x:f>
        <x:v>0</x:v>
      </x:c>
      <x:c r="F20" s="76" t="n">
        <x:f>COUNTIFS('01_전체케이스'!$C$5:$C$677,A20,'01_전체케이스'!$K$5:$K$677,"수정 완료")</x:f>
        <x:v>0</x:v>
      </x:c>
      <x:c r="G20" s="94" t="n">
        <x:f>IFERROR(C20/(B20-E20),0)</x:f>
        <x:v>1</x:v>
      </x:c>
    </x:row>
    <x:row r="21">
      <x:c r="A21" s="73" t="str">
        <x:v>7.16 정산 현황</x:v>
      </x:c>
      <x:c r="B21" s="76" t="n">
        <x:f>COUNTIF('01_전체케이스'!$C$5:$C$677,A21)</x:f>
        <x:v>18</x:v>
      </x:c>
      <x:c r="C21" s="76" t="n">
        <x:f>COUNTIFS('01_전체케이스'!$C$5:$C$677,A21,'01_전체케이스'!$I$5:$I$677,"PASS")</x:f>
        <x:v>17</x:v>
      </x:c>
      <x:c r="D21" s="76" t="n">
        <x:f>COUNTIFS('01_전체케이스'!$C$5:$C$677,A21,'01_전체케이스'!$I$5:$I$677,"FAIL")</x:f>
        <x:v>0</x:v>
      </x:c>
      <x:c r="E21" s="76" t="n">
        <x:f>COUNTIFS('01_전체케이스'!$C$5:$C$677,A21,'01_전체케이스'!$I$5:$I$677,"BLOCKED")</x:f>
        <x:v>1</x:v>
      </x:c>
      <x:c r="F21" s="76" t="n">
        <x:f>COUNTIFS('01_전체케이스'!$C$5:$C$677,A21,'01_전체케이스'!$K$5:$K$677,"수정 완료")</x:f>
        <x:v>0</x:v>
      </x:c>
      <x:c r="G21" s="94" t="n">
        <x:f>IFERROR(C21/(B21-E21),0)</x:f>
        <x:v>1</x:v>
      </x:c>
    </x:row>
    <x:row r="22">
      <x:c r="A22" s="73" t="str">
        <x:v>7.17 정산 목록</x:v>
      </x:c>
      <x:c r="B22" s="76" t="n">
        <x:f>COUNTIF('01_전체케이스'!$C$5:$C$677,A22)</x:f>
        <x:v>15</x:v>
      </x:c>
      <x:c r="C22" s="76" t="n">
        <x:f>COUNTIFS('01_전체케이스'!$C$5:$C$677,A22,'01_전체케이스'!$I$5:$I$677,"PASS")</x:f>
        <x:v>14</x:v>
      </x:c>
      <x:c r="D22" s="76" t="n">
        <x:f>COUNTIFS('01_전체케이스'!$C$5:$C$677,A22,'01_전체케이스'!$I$5:$I$677,"FAIL")</x:f>
        <x:v>0</x:v>
      </x:c>
      <x:c r="E22" s="76" t="n">
        <x:f>COUNTIFS('01_전체케이스'!$C$5:$C$677,A22,'01_전체케이스'!$I$5:$I$677,"BLOCKED")</x:f>
        <x:v>1</x:v>
      </x:c>
      <x:c r="F22" s="76" t="n">
        <x:f>COUNTIFS('01_전체케이스'!$C$5:$C$677,A22,'01_전체케이스'!$K$5:$K$677,"수정 완료")</x:f>
        <x:v>0</x:v>
      </x:c>
      <x:c r="G22" s="94" t="n">
        <x:f>IFERROR(C22/(B22-E22),0)</x:f>
        <x:v>1</x:v>
      </x:c>
    </x:row>
    <x:row r="23">
      <x:c r="A23" s="73" t="str">
        <x:v>7.18 비품 구매</x:v>
      </x:c>
      <x:c r="B23" s="76" t="n">
        <x:f>COUNTIF('01_전체케이스'!$C$5:$C$677,A23)</x:f>
        <x:v>14</x:v>
      </x:c>
      <x:c r="C23" s="76" t="n">
        <x:f>COUNTIFS('01_전체케이스'!$C$5:$C$677,A23,'01_전체케이스'!$I$5:$I$677,"PASS")</x:f>
        <x:v>14</x:v>
      </x:c>
      <x:c r="D23" s="76" t="n">
        <x:f>COUNTIFS('01_전체케이스'!$C$5:$C$677,A23,'01_전체케이스'!$I$5:$I$677,"FAIL")</x:f>
        <x:v>0</x:v>
      </x:c>
      <x:c r="E23" s="76" t="n">
        <x:f>COUNTIFS('01_전체케이스'!$C$5:$C$677,A23,'01_전체케이스'!$I$5:$I$677,"BLOCKED")</x:f>
        <x:v>0</x:v>
      </x:c>
      <x:c r="F23" s="76" t="n">
        <x:f>COUNTIFS('01_전체케이스'!$C$5:$C$677,A23,'01_전체케이스'!$K$5:$K$677,"수정 완료")</x:f>
        <x:v>1</x:v>
      </x:c>
      <x:c r="G23" s="94" t="n">
        <x:f>IFERROR(C23/(B23-E23),0)</x:f>
        <x:v>1</x:v>
      </x:c>
    </x:row>
    <x:row r="24">
      <x:c r="A24" s="73" t="str">
        <x:v>7.19 일일 마감 및 마감 로그</x:v>
      </x:c>
      <x:c r="B24" s="76" t="n">
        <x:f>COUNTIF('01_전체케이스'!$C$5:$C$677,A24)</x:f>
        <x:v>18</x:v>
      </x:c>
      <x:c r="C24" s="76" t="n">
        <x:f>COUNTIFS('01_전체케이스'!$C$5:$C$677,A24,'01_전체케이스'!$I$5:$I$677,"PASS")</x:f>
        <x:v>17</x:v>
      </x:c>
      <x:c r="D24" s="76" t="n">
        <x:f>COUNTIFS('01_전체케이스'!$C$5:$C$677,A24,'01_전체케이스'!$I$5:$I$677,"FAIL")</x:f>
        <x:v>0</x:v>
      </x:c>
      <x:c r="E24" s="76" t="n">
        <x:f>COUNTIFS('01_전체케이스'!$C$5:$C$677,A24,'01_전체케이스'!$I$5:$I$677,"BLOCKED")</x:f>
        <x:v>1</x:v>
      </x:c>
      <x:c r="F24" s="76" t="n">
        <x:f>COUNTIFS('01_전체케이스'!$C$5:$C$677,A24,'01_전체케이스'!$K$5:$K$677,"수정 완료")</x:f>
        <x:v>0</x:v>
      </x:c>
      <x:c r="G24" s="94" t="n">
        <x:f>IFERROR(C24/(B24-E24),0)</x:f>
        <x:v>1</x:v>
      </x:c>
    </x:row>
    <x:row r="25">
      <x:c r="A25" s="73" t="str">
        <x:v>7.20 매출 분석</x:v>
      </x:c>
      <x:c r="B25" s="76" t="n">
        <x:f>COUNTIF('01_전체케이스'!$C$5:$C$677,A25)</x:f>
        <x:v>8</x:v>
      </x:c>
      <x:c r="C25" s="76" t="n">
        <x:f>COUNTIFS('01_전체케이스'!$C$5:$C$677,A25,'01_전체케이스'!$I$5:$I$677,"PASS")</x:f>
        <x:v>8</x:v>
      </x:c>
      <x:c r="D25" s="76" t="n">
        <x:f>COUNTIFS('01_전체케이스'!$C$5:$C$677,A25,'01_전체케이스'!$I$5:$I$677,"FAIL")</x:f>
        <x:v>0</x:v>
      </x:c>
      <x:c r="E25" s="76" t="n">
        <x:f>COUNTIFS('01_전체케이스'!$C$5:$C$677,A25,'01_전체케이스'!$I$5:$I$677,"BLOCKED")</x:f>
        <x:v>0</x:v>
      </x:c>
      <x:c r="F25" s="76" t="n">
        <x:f>COUNTIFS('01_전체케이스'!$C$5:$C$677,A25,'01_전체케이스'!$K$5:$K$677,"수정 완료")</x:f>
        <x:v>0</x:v>
      </x:c>
      <x:c r="G25" s="94" t="n">
        <x:f>IFERROR(C25/(B25-E25),0)</x:f>
        <x:v>1</x:v>
      </x:c>
    </x:row>
    <x:row r="26">
      <x:c r="A26" s="73" t="str">
        <x:v>7.21 투숙객 CRM</x:v>
      </x:c>
      <x:c r="B26" s="76" t="n">
        <x:f>COUNTIF('01_전체케이스'!$C$5:$C$677,A26)</x:f>
        <x:v>15</x:v>
      </x:c>
      <x:c r="C26" s="76" t="n">
        <x:f>COUNTIFS('01_전체케이스'!$C$5:$C$677,A26,'01_전체케이스'!$I$5:$I$677,"PASS")</x:f>
        <x:v>15</x:v>
      </x:c>
      <x:c r="D26" s="76" t="n">
        <x:f>COUNTIFS('01_전체케이스'!$C$5:$C$677,A26,'01_전체케이스'!$I$5:$I$677,"FAIL")</x:f>
        <x:v>0</x:v>
      </x:c>
      <x:c r="E26" s="76" t="n">
        <x:f>COUNTIFS('01_전체케이스'!$C$5:$C$677,A26,'01_전체케이스'!$I$5:$I$677,"BLOCKED")</x:f>
        <x:v>0</x:v>
      </x:c>
      <x:c r="F26" s="76" t="n">
        <x:f>COUNTIFS('01_전체케이스'!$C$5:$C$677,A26,'01_전체케이스'!$K$5:$K$677,"수정 완료")</x:f>
        <x:v>0</x:v>
      </x:c>
      <x:c r="G26" s="94" t="n">
        <x:f>IFERROR(C26/(B26-E26),0)</x:f>
        <x:v>1</x:v>
      </x:c>
    </x:row>
    <x:row r="27">
      <x:c r="A27" s="73" t="str">
        <x:v>7.22 우수 고객 멤버십</x:v>
      </x:c>
      <x:c r="B27" s="76" t="n">
        <x:f>COUNTIF('01_전체케이스'!$C$5:$C$677,A27)</x:f>
        <x:v>20</x:v>
      </x:c>
      <x:c r="C27" s="76" t="n">
        <x:f>COUNTIFS('01_전체케이스'!$C$5:$C$677,A27,'01_전체케이스'!$I$5:$I$677,"PASS")</x:f>
        <x:v>20</x:v>
      </x:c>
      <x:c r="D27" s="76" t="n">
        <x:f>COUNTIFS('01_전체케이스'!$C$5:$C$677,A27,'01_전체케이스'!$I$5:$I$677,"FAIL")</x:f>
        <x:v>0</x:v>
      </x:c>
      <x:c r="E27" s="76" t="n">
        <x:f>COUNTIFS('01_전체케이스'!$C$5:$C$677,A27,'01_전체케이스'!$I$5:$I$677,"BLOCKED")</x:f>
        <x:v>0</x:v>
      </x:c>
      <x:c r="F27" s="76" t="n">
        <x:f>COUNTIFS('01_전체케이스'!$C$5:$C$677,A27,'01_전체케이스'!$K$5:$K$677,"수정 완료")</x:f>
        <x:v>0</x:v>
      </x:c>
      <x:c r="G27" s="94" t="n">
        <x:f>IFERROR(C27/(B27-E27),0)</x:f>
        <x:v>1</x:v>
      </x:c>
    </x:row>
    <x:row r="28">
      <x:c r="A28" s="73" t="str">
        <x:v>7.23 호텔 및 일반 설정</x:v>
      </x:c>
      <x:c r="B28" s="76" t="n">
        <x:f>COUNTIF('01_전체케이스'!$C$5:$C$677,A28)</x:f>
        <x:v>20</x:v>
      </x:c>
      <x:c r="C28" s="76" t="n">
        <x:f>COUNTIFS('01_전체케이스'!$C$5:$C$677,A28,'01_전체케이스'!$I$5:$I$677,"PASS")</x:f>
        <x:v>20</x:v>
      </x:c>
      <x:c r="D28" s="76" t="n">
        <x:f>COUNTIFS('01_전체케이스'!$C$5:$C$677,A28,'01_전체케이스'!$I$5:$I$677,"FAIL")</x:f>
        <x:v>0</x:v>
      </x:c>
      <x:c r="E28" s="76" t="n">
        <x:f>COUNTIFS('01_전체케이스'!$C$5:$C$677,A28,'01_전체케이스'!$I$5:$I$677,"BLOCKED")</x:f>
        <x:v>0</x:v>
      </x:c>
      <x:c r="F28" s="76" t="n">
        <x:f>COUNTIFS('01_전체케이스'!$C$5:$C$677,A28,'01_전체케이스'!$K$5:$K$677,"수정 완료")</x:f>
        <x:v>0</x:v>
      </x:c>
      <x:c r="G28" s="94" t="n">
        <x:f>IFERROR(C28/(B28-E28),0)</x:f>
        <x:v>1</x:v>
      </x:c>
    </x:row>
    <x:row r="29">
      <x:c r="A29" s="73" t="str">
        <x:v>7.24 직원 목록 및 계정</x:v>
      </x:c>
      <x:c r="B29" s="76" t="n">
        <x:f>COUNTIF('01_전체케이스'!$C$5:$C$677,A29)</x:f>
        <x:v>16</x:v>
      </x:c>
      <x:c r="C29" s="76" t="n">
        <x:f>COUNTIFS('01_전체케이스'!$C$5:$C$677,A29,'01_전체케이스'!$I$5:$I$677,"PASS")</x:f>
        <x:v>16</x:v>
      </x:c>
      <x:c r="D29" s="76" t="n">
        <x:f>COUNTIFS('01_전체케이스'!$C$5:$C$677,A29,'01_전체케이스'!$I$5:$I$677,"FAIL")</x:f>
        <x:v>0</x:v>
      </x:c>
      <x:c r="E29" s="76" t="n">
        <x:f>COUNTIFS('01_전체케이스'!$C$5:$C$677,A29,'01_전체케이스'!$I$5:$I$677,"BLOCKED")</x:f>
        <x:v>0</x:v>
      </x:c>
      <x:c r="F29" s="76" t="n">
        <x:f>COUNTIFS('01_전체케이스'!$C$5:$C$677,A29,'01_전체케이스'!$K$5:$K$677,"수정 완료")</x:f>
        <x:v>0</x:v>
      </x:c>
      <x:c r="G29" s="94" t="n">
        <x:f>IFERROR(C29/(B29-E29),0)</x:f>
        <x:v>1</x:v>
      </x:c>
    </x:row>
    <x:row r="30">
      <x:c r="A30" s="73" t="str">
        <x:v>7.25 역할 및 기능 권한</x:v>
      </x:c>
      <x:c r="B30" s="76" t="n">
        <x:f>COUNTIF('01_전체케이스'!$C$5:$C$677,A30)</x:f>
        <x:v>14</x:v>
      </x:c>
      <x:c r="C30" s="76" t="n">
        <x:f>COUNTIFS('01_전체케이스'!$C$5:$C$677,A30,'01_전체케이스'!$I$5:$I$677,"PASS")</x:f>
        <x:v>14</x:v>
      </x:c>
      <x:c r="D30" s="76" t="n">
        <x:f>COUNTIFS('01_전체케이스'!$C$5:$C$677,A30,'01_전체케이스'!$I$5:$I$677,"FAIL")</x:f>
        <x:v>0</x:v>
      </x:c>
      <x:c r="E30" s="76" t="n">
        <x:f>COUNTIFS('01_전체케이스'!$C$5:$C$677,A30,'01_전체케이스'!$I$5:$I$677,"BLOCKED")</x:f>
        <x:v>0</x:v>
      </x:c>
      <x:c r="F30" s="76" t="n">
        <x:f>COUNTIFS('01_전체케이스'!$C$5:$C$677,A30,'01_전체케이스'!$K$5:$K$677,"수정 완료")</x:f>
        <x:v>0</x:v>
      </x:c>
      <x:c r="G30" s="94" t="n">
        <x:f>IFERROR(C30/(B30-E30),0)</x:f>
        <x:v>1</x:v>
      </x:c>
    </x:row>
    <x:row r="31">
      <x:c r="A31" s="73" t="str">
        <x:v>7.26 운영 감사 로그</x:v>
      </x:c>
      <x:c r="B31" s="76" t="n">
        <x:f>COUNTIF('01_전체케이스'!$C$5:$C$677,A31)</x:f>
        <x:v>12</x:v>
      </x:c>
      <x:c r="C31" s="76" t="n">
        <x:f>COUNTIFS('01_전체케이스'!$C$5:$C$677,A31,'01_전체케이스'!$I$5:$I$677,"PASS")</x:f>
        <x:v>12</x:v>
      </x:c>
      <x:c r="D31" s="76" t="n">
        <x:f>COUNTIFS('01_전체케이스'!$C$5:$C$677,A31,'01_전체케이스'!$I$5:$I$677,"FAIL")</x:f>
        <x:v>0</x:v>
      </x:c>
      <x:c r="E31" s="76" t="n">
        <x:f>COUNTIFS('01_전체케이스'!$C$5:$C$677,A31,'01_전체케이스'!$I$5:$I$677,"BLOCKED")</x:f>
        <x:v>0</x:v>
      </x:c>
      <x:c r="F31" s="76" t="n">
        <x:f>COUNTIFS('01_전체케이스'!$C$5:$C$677,A31,'01_전체케이스'!$K$5:$K$677,"수정 완료")</x:f>
        <x:v>0</x:v>
      </x:c>
      <x:c r="G31" s="94" t="n">
        <x:f>IFERROR(C31/(B31-E31),0)</x:f>
        <x:v>1</x:v>
      </x:c>
    </x:row>
    <x:row r="32">
      <x:c r="A32" s="73" t="str">
        <x:v>7.27 공지사항 및 고객지원</x:v>
      </x:c>
      <x:c r="B32" s="76" t="n">
        <x:f>COUNTIF('01_전체케이스'!$C$5:$C$677,A32)</x:f>
        <x:v>18</x:v>
      </x:c>
      <x:c r="C32" s="76" t="n">
        <x:f>COUNTIFS('01_전체케이스'!$C$5:$C$677,A32,'01_전체케이스'!$I$5:$I$677,"PASS")</x:f>
        <x:v>18</x:v>
      </x:c>
      <x:c r="D32" s="76" t="n">
        <x:f>COUNTIFS('01_전체케이스'!$C$5:$C$677,A32,'01_전체케이스'!$I$5:$I$677,"FAIL")</x:f>
        <x:v>0</x:v>
      </x:c>
      <x:c r="E32" s="76" t="n">
        <x:f>COUNTIFS('01_전체케이스'!$C$5:$C$677,A32,'01_전체케이스'!$I$5:$I$677,"BLOCKED")</x:f>
        <x:v>0</x:v>
      </x:c>
      <x:c r="F32" s="76" t="n">
        <x:f>COUNTIFS('01_전체케이스'!$C$5:$C$677,A32,'01_전체케이스'!$K$5:$K$677,"수정 완료")</x:f>
        <x:v>0</x:v>
      </x:c>
      <x:c r="G32" s="94" t="n">
        <x:f>IFERROR(C32/(B32-E32),0)</x:f>
        <x:v>1</x:v>
      </x:c>
    </x:row>
    <x:row r="33">
      <x:c r="A33" s="73" t="str">
        <x:v>8.1 로그인 및 공통 셸</x:v>
      </x:c>
      <x:c r="B33" s="76" t="n">
        <x:f>COUNTIF('01_전체케이스'!$C$5:$C$677,A33)</x:f>
        <x:v>8</x:v>
      </x:c>
      <x:c r="C33" s="76" t="n">
        <x:f>COUNTIFS('01_전체케이스'!$C$5:$C$677,A33,'01_전체케이스'!$I$5:$I$677,"PASS")</x:f>
        <x:v>8</x:v>
      </x:c>
      <x:c r="D33" s="76" t="n">
        <x:f>COUNTIFS('01_전체케이스'!$C$5:$C$677,A33,'01_전체케이스'!$I$5:$I$677,"FAIL")</x:f>
        <x:v>0</x:v>
      </x:c>
      <x:c r="E33" s="76" t="n">
        <x:f>COUNTIFS('01_전체케이스'!$C$5:$C$677,A33,'01_전체케이스'!$I$5:$I$677,"BLOCKED")</x:f>
        <x:v>0</x:v>
      </x:c>
      <x:c r="F33" s="76" t="n">
        <x:f>COUNTIFS('01_전체케이스'!$C$5:$C$677,A33,'01_전체케이스'!$K$5:$K$677,"수정 완료")</x:f>
        <x:v>2</x:v>
      </x:c>
      <x:c r="G33" s="94" t="n">
        <x:f>IFERROR(C33/(B33-E33),0)</x:f>
        <x:v>1</x:v>
      </x:c>
    </x:row>
    <x:row r="34">
      <x:c r="A34" s="73" t="str">
        <x:v>8.2 플랫폼 대시보드</x:v>
      </x:c>
      <x:c r="B34" s="76" t="n">
        <x:f>COUNTIF('01_전체케이스'!$C$5:$C$677,A34)</x:f>
        <x:v>10</x:v>
      </x:c>
      <x:c r="C34" s="76" t="n">
        <x:f>COUNTIFS('01_전체케이스'!$C$5:$C$677,A34,'01_전체케이스'!$I$5:$I$677,"PASS")</x:f>
        <x:v>10</x:v>
      </x:c>
      <x:c r="D34" s="76" t="n">
        <x:f>COUNTIFS('01_전체케이스'!$C$5:$C$677,A34,'01_전체케이스'!$I$5:$I$677,"FAIL")</x:f>
        <x:v>0</x:v>
      </x:c>
      <x:c r="E34" s="76" t="n">
        <x:f>COUNTIFS('01_전체케이스'!$C$5:$C$677,A34,'01_전체케이스'!$I$5:$I$677,"BLOCKED")</x:f>
        <x:v>0</x:v>
      </x:c>
      <x:c r="F34" s="76" t="n">
        <x:f>COUNTIFS('01_전체케이스'!$C$5:$C$677,A34,'01_전체케이스'!$K$5:$K$677,"수정 완료")</x:f>
        <x:v>2</x:v>
      </x:c>
      <x:c r="G34" s="94" t="n">
        <x:f>IFERROR(C34/(B34-E34),0)</x:f>
        <x:v>1</x:v>
      </x:c>
    </x:row>
    <x:row r="35">
      <x:c r="A35" s="73" t="str">
        <x:v>8.3 호텔사 목록 및 상세</x:v>
      </x:c>
      <x:c r="B35" s="76" t="n">
        <x:f>COUNTIF('01_전체케이스'!$C$5:$C$677,A35)</x:f>
        <x:v>27</x:v>
      </x:c>
      <x:c r="C35" s="76" t="n">
        <x:f>COUNTIFS('01_전체케이스'!$C$5:$C$677,A35,'01_전체케이스'!$I$5:$I$677,"PASS")</x:f>
        <x:v>27</x:v>
      </x:c>
      <x:c r="D35" s="76" t="n">
        <x:f>COUNTIFS('01_전체케이스'!$C$5:$C$677,A35,'01_전체케이스'!$I$5:$I$677,"FAIL")</x:f>
        <x:v>0</x:v>
      </x:c>
      <x:c r="E35" s="76" t="n">
        <x:f>COUNTIFS('01_전체케이스'!$C$5:$C$677,A35,'01_전체케이스'!$I$5:$I$677,"BLOCKED")</x:f>
        <x:v>0</x:v>
      </x:c>
      <x:c r="F35" s="76" t="n">
        <x:f>COUNTIFS('01_전체케이스'!$C$5:$C$677,A35,'01_전체케이스'!$K$5:$K$677,"수정 완료")</x:f>
        <x:v>1</x:v>
      </x:c>
      <x:c r="G35" s="94" t="n">
        <x:f>IFERROR(C35/(B35-E35),0)</x:f>
        <x:v>1</x:v>
      </x:c>
    </x:row>
    <x:row r="36">
      <x:c r="A36" s="73" t="str">
        <x:v>8.4 호텔사 등록 및 입점 신청</x:v>
      </x:c>
      <x:c r="B36" s="76" t="n">
        <x:f>COUNTIF('01_전체케이스'!$C$5:$C$677,A36)</x:f>
        <x:v>22</x:v>
      </x:c>
      <x:c r="C36" s="76" t="n">
        <x:f>COUNTIFS('01_전체케이스'!$C$5:$C$677,A36,'01_전체케이스'!$I$5:$I$677,"PASS")</x:f>
        <x:v>21</x:v>
      </x:c>
      <x:c r="D36" s="76" t="n">
        <x:f>COUNTIFS('01_전체케이스'!$C$5:$C$677,A36,'01_전체케이스'!$I$5:$I$677,"FAIL")</x:f>
        <x:v>0</x:v>
      </x:c>
      <x:c r="E36" s="76" t="n">
        <x:f>COUNTIFS('01_전체케이스'!$C$5:$C$677,A36,'01_전체케이스'!$I$5:$I$677,"BLOCKED")</x:f>
        <x:v>1</x:v>
      </x:c>
      <x:c r="F36" s="76" t="n">
        <x:f>COUNTIFS('01_전체케이스'!$C$5:$C$677,A36,'01_전체케이스'!$K$5:$K$677,"수정 완료")</x:f>
        <x:v>1</x:v>
      </x:c>
      <x:c r="G36" s="94" t="n">
        <x:f>IFERROR(C36/(B36-E36),0)</x:f>
        <x:v>1</x:v>
      </x:c>
    </x:row>
    <x:row r="37">
      <x:c r="A37" s="73" t="str">
        <x:v>8.5 광고 캠페인</x:v>
      </x:c>
      <x:c r="B37" s="76" t="n">
        <x:f>COUNTIF('01_전체케이스'!$C$5:$C$677,A37)</x:f>
        <x:v>52</x:v>
      </x:c>
      <x:c r="C37" s="76" t="n">
        <x:f>COUNTIFS('01_전체케이스'!$C$5:$C$677,A37,'01_전체케이스'!$I$5:$I$677,"PASS")</x:f>
        <x:v>52</x:v>
      </x:c>
      <x:c r="D37" s="76" t="n">
        <x:f>COUNTIFS('01_전체케이스'!$C$5:$C$677,A37,'01_전체케이스'!$I$5:$I$677,"FAIL")</x:f>
        <x:v>0</x:v>
      </x:c>
      <x:c r="E37" s="76" t="n">
        <x:f>COUNTIFS('01_전체케이스'!$C$5:$C$677,A37,'01_전체케이스'!$I$5:$I$677,"BLOCKED")</x:f>
        <x:v>0</x:v>
      </x:c>
      <x:c r="F37" s="76" t="n">
        <x:f>COUNTIFS('01_전체케이스'!$C$5:$C$677,A37,'01_전체케이스'!$K$5:$K$677,"수정 완료")</x:f>
        <x:v>9</x:v>
      </x:c>
      <x:c r="G37" s="94" t="n">
        <x:f>IFERROR(C37/(B37-E37),0)</x:f>
        <x:v>1</x:v>
      </x:c>
    </x:row>
    <x:row r="38">
      <x:c r="A38" s="73" t="str">
        <x:v>8.6 Admin 사용자 및 시스템 설정</x:v>
      </x:c>
      <x:c r="B38" s="76" t="n">
        <x:f>COUNTIF('01_전체케이스'!$C$5:$C$677,A38)</x:f>
        <x:v>28</x:v>
      </x:c>
      <x:c r="C38" s="76" t="n">
        <x:f>COUNTIFS('01_전체케이스'!$C$5:$C$677,A38,'01_전체케이스'!$I$5:$I$677,"PASS")</x:f>
        <x:v>25</x:v>
      </x:c>
      <x:c r="D38" s="76" t="n">
        <x:f>COUNTIFS('01_전체케이스'!$C$5:$C$677,A38,'01_전체케이스'!$I$5:$I$677,"FAIL")</x:f>
        <x:v>0</x:v>
      </x:c>
      <x:c r="E38" s="76" t="n">
        <x:f>COUNTIFS('01_전체케이스'!$C$5:$C$677,A38,'01_전체케이스'!$I$5:$I$677,"BLOCKED")</x:f>
        <x:v>3</x:v>
      </x:c>
      <x:c r="F38" s="76" t="n">
        <x:f>COUNTIFS('01_전체케이스'!$C$5:$C$677,A38,'01_전체케이스'!$K$5:$K$677,"수정 완료")</x:f>
        <x:v>7</x:v>
      </x:c>
      <x:c r="G38" s="94" t="n">
        <x:f>IFERROR(C38/(B38-E38),0)</x:f>
        <x:v>1</x:v>
      </x:c>
    </x:row>
    <x:row r="39">
      <x:c r="A39" s="73" t="str">
        <x:v>8.7 Admin 헬프데스크, 공지, 감사, 프로필</x:v>
      </x:c>
      <x:c r="B39" s="76" t="n">
        <x:f>COUNTIF('01_전체케이스'!$C$5:$C$677,A39)</x:f>
        <x:v>21</x:v>
      </x:c>
      <x:c r="C39" s="76" t="n">
        <x:f>COUNTIFS('01_전체케이스'!$C$5:$C$677,A39,'01_전체케이스'!$I$5:$I$677,"PASS")</x:f>
        <x:v>21</x:v>
      </x:c>
      <x:c r="D39" s="76" t="n">
        <x:f>COUNTIFS('01_전체케이스'!$C$5:$C$677,A39,'01_전체케이스'!$I$5:$I$677,"FAIL")</x:f>
        <x:v>0</x:v>
      </x:c>
      <x:c r="E39" s="76" t="n">
        <x:f>COUNTIFS('01_전체케이스'!$C$5:$C$677,A39,'01_전체케이스'!$I$5:$I$677,"BLOCKED")</x:f>
        <x:v>0</x:v>
      </x:c>
      <x:c r="F39" s="76" t="n">
        <x:f>COUNTIFS('01_전체케이스'!$C$5:$C$677,A39,'01_전체케이스'!$K$5:$K$677,"수정 완료")</x:f>
        <x:v>5</x:v>
      </x:c>
      <x:c r="G39" s="94" t="n">
        <x:f>IFERROR(C39/(B39-E39),0)</x:f>
        <x:v>1</x:v>
      </x:c>
    </x:row>
    <x:row r="40">
      <x:c r="A40" s="73" t="str">
        <x:v>9. 교차 모듈 통합 프로세스 테스트</x:v>
      </x:c>
      <x:c r="B40" s="76" t="n">
        <x:f>COUNTIF('01_전체케이스'!$C$5:$C$677,A40)</x:f>
        <x:v>25</x:v>
      </x:c>
      <x:c r="C40" s="76" t="n">
        <x:f>COUNTIFS('01_전체케이스'!$C$5:$C$677,A40,'01_전체케이스'!$I$5:$I$677,"PASS")</x:f>
        <x:v>25</x:v>
      </x:c>
      <x:c r="D40" s="76" t="n">
        <x:f>COUNTIFS('01_전체케이스'!$C$5:$C$677,A40,'01_전체케이스'!$I$5:$I$677,"FAIL")</x:f>
        <x:v>0</x:v>
      </x:c>
      <x:c r="E40" s="76" t="n">
        <x:f>COUNTIFS('01_전체케이스'!$C$5:$C$677,A40,'01_전체케이스'!$I$5:$I$677,"BLOCKED")</x:f>
        <x:v>0</x:v>
      </x:c>
      <x:c r="F40" s="76" t="n">
        <x:f>COUNTIFS('01_전체케이스'!$C$5:$C$677,A40,'01_전체케이스'!$K$5:$K$677,"수정 완료")</x:f>
        <x:v>15</x:v>
      </x:c>
      <x:c r="G40" s="94" t="n">
        <x:f>IFERROR(C40/(B40-E40),0)</x:f>
        <x:v>1</x:v>
      </x:c>
    </x:row>
    <x:row r="41">
      <x:c r="A41" s="73" t="str">
        <x:v>10. API, 데이터 및 저장소 통합 테스트</x:v>
      </x:c>
      <x:c r="B41" s="76" t="n">
        <x:f>COUNTIF('01_전체케이스'!$C$5:$C$677,A41)</x:f>
        <x:v>20</x:v>
      </x:c>
      <x:c r="C41" s="76" t="n">
        <x:f>COUNTIFS('01_전체케이스'!$C$5:$C$677,A41,'01_전체케이스'!$I$5:$I$677,"PASS")</x:f>
        <x:v>20</x:v>
      </x:c>
      <x:c r="D41" s="76" t="n">
        <x:f>COUNTIFS('01_전체케이스'!$C$5:$C$677,A41,'01_전체케이스'!$I$5:$I$677,"FAIL")</x:f>
        <x:v>0</x:v>
      </x:c>
      <x:c r="E41" s="76" t="n">
        <x:f>COUNTIFS('01_전체케이스'!$C$5:$C$677,A41,'01_전체케이스'!$I$5:$I$677,"BLOCKED")</x:f>
        <x:v>0</x:v>
      </x:c>
      <x:c r="F41" s="76" t="n">
        <x:f>COUNTIFS('01_전체케이스'!$C$5:$C$677,A41,'01_전체케이스'!$K$5:$K$677,"수정 완료")</x:f>
        <x:v>0</x:v>
      </x:c>
      <x:c r="G41" s="94" t="n">
        <x:f>IFERROR(C41/(B41-E41),0)</x:f>
        <x:v>1</x:v>
      </x:c>
    </x:row>
    <x:row r="42">
      <x:c r="A42" s="73" t="str">
        <x:v>11. 다국어 전수 테스트</x:v>
      </x:c>
      <x:c r="B42" s="76" t="n">
        <x:f>COUNTIF('01_전체케이스'!$C$5:$C$677,A42)</x:f>
        <x:v>12</x:v>
      </x:c>
      <x:c r="C42" s="76" t="n">
        <x:f>COUNTIFS('01_전체케이스'!$C$5:$C$677,A42,'01_전체케이스'!$I$5:$I$677,"PASS")</x:f>
        <x:v>11</x:v>
      </x:c>
      <x:c r="D42" s="76" t="n">
        <x:f>COUNTIFS('01_전체케이스'!$C$5:$C$677,A42,'01_전체케이스'!$I$5:$I$677,"FAIL")</x:f>
        <x:v>0</x:v>
      </x:c>
      <x:c r="E42" s="76" t="n">
        <x:f>COUNTIFS('01_전체케이스'!$C$5:$C$677,A42,'01_전체케이스'!$I$5:$I$677,"BLOCKED")</x:f>
        <x:v>1</x:v>
      </x:c>
      <x:c r="F42" s="76" t="n">
        <x:f>COUNTIFS('01_전체케이스'!$C$5:$C$677,A42,'01_전체케이스'!$K$5:$K$677,"수정 완료")</x:f>
        <x:v>0</x:v>
      </x:c>
      <x:c r="G42" s="94" t="n">
        <x:f>IFERROR(C42/(B42-E42),0)</x:f>
        <x:v>1</x:v>
      </x:c>
    </x:row>
    <x:row r="43">
      <x:c r="A43" s="74" t="str">
        <x:v>12. 반응형 및 상호작용 전수 테스트</x:v>
      </x:c>
      <x:c r="B43" s="77" t="n">
        <x:f>COUNTIF('01_전체케이스'!$C$5:$C$677,A43)</x:f>
        <x:v>12</x:v>
      </x:c>
      <x:c r="C43" s="77" t="n">
        <x:f>COUNTIFS('01_전체케이스'!$C$5:$C$677,A43,'01_전체케이스'!$I$5:$I$677,"PASS")</x:f>
        <x:v>12</x:v>
      </x:c>
      <x:c r="D43" s="77" t="n">
        <x:f>COUNTIFS('01_전체케이스'!$C$5:$C$677,A43,'01_전체케이스'!$I$5:$I$677,"FAIL")</x:f>
        <x:v>0</x:v>
      </x:c>
      <x:c r="E43" s="77" t="n">
        <x:f>COUNTIFS('01_전체케이스'!$C$5:$C$677,A43,'01_전체케이스'!$I$5:$I$677,"BLOCKED")</x:f>
        <x:v>0</x:v>
      </x:c>
      <x:c r="F43" s="77" t="n">
        <x:f>COUNTIFS('01_전체케이스'!$C$5:$C$677,A43,'01_전체케이스'!$K$5:$K$677,"수정 완료")</x:f>
        <x:v>0</x:v>
      </x:c>
      <x:c r="G43" s="95" t="n">
        <x:f>IFERROR(C43/(B43-E43),0)</x:f>
        <x:v>1</x:v>
      </x:c>
    </x:row>
  </x:sheetData>
  <x:mergeCells>
    <x:mergeCell ref="A1:G1"/>
    <x:mergeCell ref="A2:G2"/>
  </x:mergeCells>
  <x:pageMargins left="0.7" right="0.7" top="0.75" bottom="0.75" header="0.3" footer="0.3"/>
  <x:tableParts count="1">
    <x:tablePart xmlns:r="http://schemas.openxmlformats.org/officeDocument/2006/relationships" r:id="R1f00727e79054f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6.25" hidden="0" customWidth="1"/>
    <x:col min="2" max="2" width="32.5" hidden="0" customWidth="1"/>
    <x:col min="3" max="3" width="21.25" hidden="0" customWidth="1"/>
    <x:col min="4" max="4" width="47.5" hidden="0" customWidth="1"/>
  </x:cols>
  <x:sheetData>
    <x:row r="1" ht="33" customHeight="1">
      <x:c r="A1" s="4" t="str">
        <x:v>검증 근거</x:v>
      </x:c>
      <x:c r="B1" s="4"/>
      <x:c r="C1" s="4"/>
      <x:c r="D1" s="4"/>
    </x:row>
    <x:row r="2" ht="22.5" customHeight="1">
      <x:c r="A2" s="8" t="str">
        <x:v>최종 판정과 수정 재검증에 사용한 주요 자동화·직접 검증 결과입니다.</x:v>
      </x:c>
      <x:c r="B2" s="8"/>
      <x:c r="C2" s="8"/>
      <x:c r="D2" s="8"/>
    </x:row>
    <x:row r="4" ht="27" customHeight="1">
      <x:c r="A4" s="16" t="str">
        <x:v>증적 파일</x:v>
      </x:c>
      <x:c r="B4" s="35" t="str">
        <x:v>검증 범위</x:v>
      </x:c>
      <x:c r="C4" s="35" t="str">
        <x:v>결과</x:v>
      </x:c>
      <x:c r="D4" s="17" t="str">
        <x:v>비고</x:v>
      </x:c>
    </x:row>
    <x:row r="5">
      <x:c r="A5" s="72" t="str">
        <x:v>outputs/full-plan-20260719/91-plan-readonly-full-rerun.json</x:v>
      </x:c>
      <x:c r="B5" s="72" t="str">
        <x:v>계획서 읽기 전용 전수 검증</x:v>
      </x:c>
      <x:c r="C5" s="72" t="str">
        <x:v>315/315 PASS</x:v>
      </x:c>
      <x:c r="D5" s="72" t="str">
        <x:v>계획서 정적·조회 검증 기준</x:v>
      </x:c>
    </x:row>
    <x:row r="6">
      <x:c r="A6" s="73" t="str">
        <x:v>outputs/full-plan-20260719/93-hotel-direct-fresh.json</x:v>
      </x:c>
      <x:c r="B6" s="73" t="str">
        <x:v>Hotel 직접 기능 검증</x:v>
      </x:c>
      <x:c r="C6" s="73" t="str">
        <x:v>29/29 PASS</x:v>
      </x:c>
      <x:c r="D6" s="73" t="str">
        <x:v>설정·직원·권한·CRM·정산·감사로그</x:v>
      </x:c>
    </x:row>
    <x:row r="7">
      <x:c r="A7" s="73" t="str">
        <x:v>outputs/full-plan-20260719/94-admin-direct-fresh.json</x:v>
      </x:c>
      <x:c r="B7" s="73" t="str">
        <x:v>Admin 직접 기능 검증 1</x:v>
      </x:c>
      <x:c r="C7" s="73" t="str">
        <x:v>23/23 PASS</x:v>
      </x:c>
      <x:c r="D7" s="73" t="str">
        <x:v>로그인·호텔 등록·사용자·광고·연동</x:v>
      </x:c>
    </x:row>
    <x:row r="8">
      <x:c r="A8" s="73" t="str">
        <x:v>outputs/full-plan-20260719/95-admin-remaining-fresh.json</x:v>
      </x:c>
      <x:c r="B8" s="73" t="str">
        <x:v>Admin 직접 기능 검증 2</x:v>
      </x:c>
      <x:c r="C8" s="73" t="str">
        <x:v>28/28 PASS</x:v>
      </x:c>
      <x:c r="D8" s="73" t="str">
        <x:v>대시보드·광고·과금·공지·감사·프로필</x:v>
      </x:c>
    </x:row>
    <x:row r="9">
      <x:c r="A9" s="73" t="str">
        <x:v>outputs/full-plan-20260719/97-gap-fixes-full-fresh.json</x:v>
      </x:c>
      <x:c r="B9" s="73" t="str">
        <x:v>누락 기능 재검증</x:v>
      </x:c>
      <x:c r="C9" s="73" t="str">
        <x:v>26 PASS / 1 BLOCKED</x:v>
      </x:c>
      <x:c r="D9" s="73" t="str">
        <x:v>ADM-USER-008은 실제 Admin API 서버 필요</x:v>
      </x:c>
    </x:row>
    <x:row r="10">
      <x:c r="A10" s="73" t="str">
        <x:v>outputs/full-plan-20260719/101-functional-auth.json</x:v>
      </x:c>
      <x:c r="B10" s="73" t="str">
        <x:v>인증 기능</x:v>
      </x:c>
      <x:c r="C10" s="73" t="str">
        <x:v>4/4 PASS</x:v>
      </x:c>
      <x:c r="D10" s="73" t="str">
        <x:v>로그인·역할·비활성 계정</x:v>
      </x:c>
    </x:row>
    <x:row r="11">
      <x:c r="A11" s="73" t="str">
        <x:v>outputs/full-plan-20260719/102-functional-frontdesk.json</x:v>
      </x:c>
      <x:c r="B11" s="73" t="str">
        <x:v>프런트 기능</x:v>
      </x:c>
      <x:c r="C11" s="73" t="str">
        <x:v>7/7 PASS</x:v>
      </x:c>
      <x:c r="D11" s="73" t="str">
        <x:v>예약 생성·경고·체크인·상태 유지</x:v>
      </x:c>
    </x:row>
    <x:row r="12">
      <x:c r="A12" s="73" t="str">
        <x:v>outputs/full-plan-20260719/103-functional-groups-rooms.json</x:v>
      </x:c>
      <x:c r="B12" s="73" t="str">
        <x:v>단체·객실 기능</x:v>
      </x:c>
      <x:c r="C12" s="73" t="str">
        <x:v>15/15 PASS</x:v>
      </x:c>
      <x:c r="D12" s="73" t="str">
        <x:v>단체 객실 배정·투숙객 연결·객실/요금 CRUD</x:v>
      </x:c>
    </x:row>
    <x:row r="13">
      <x:c r="A13" s="73" t="str">
        <x:v>outputs/full-plan-20260719/104-functional-operations.json</x:v>
      </x:c>
      <x:c r="B13" s="73" t="str">
        <x:v>운영 기본 기능</x:v>
      </x:c>
      <x:c r="C13" s="73" t="str">
        <x:v>14/14 PASS</x:v>
      </x:c>
      <x:c r="D13" s="73" t="str">
        <x:v>하우스키핑·시설보수·부가서비스·정산·비품</x:v>
      </x:c>
    </x:row>
    <x:row r="14">
      <x:c r="A14" s="73" t="str">
        <x:v>outputs/full-plan-20260719/105-functional-operations-extended.json</x:v>
      </x:c>
      <x:c r="B14" s="73" t="str">
        <x:v>운영 확장 기능</x:v>
      </x:c>
      <x:c r="C14" s="73" t="str">
        <x:v>12/12 PASS</x:v>
      </x:c>
      <x:c r="D14" s="73" t="str">
        <x:v>수정·삭제·재오픈·객실 상태 연동</x:v>
      </x:c>
    </x:row>
    <x:row r="15">
      <x:c r="A15" s="73" t="str">
        <x:v>outputs/full-plan-20260719/106-visual-operations-targeted.json</x:v>
      </x:c>
      <x:c r="B15" s="73" t="str">
        <x:v>변경 화면 시각 검증</x:v>
      </x:c>
      <x:c r="C15" s="73" t="str">
        <x:v>8/8 PASS</x:v>
      </x:c>
      <x:c r="D15" s="73" t="str">
        <x:v>하우스키핑·시설보수 2페이지 × 4뷰포트</x:v>
      </x:c>
    </x:row>
    <x:row r="16">
      <x:c r="A16" s="73" t="str">
        <x:v>outputs/full-plan-20260719/77-i18n.log</x:v>
      </x:c>
      <x:c r="B16" s="73" t="str">
        <x:v>KO/EN 다국어 검증</x:v>
      </x:c>
      <x:c r="C16" s="73" t="str">
        <x:v>PASS</x:v>
      </x:c>
      <x:c r="D16" s="73" t="str">
        <x:v>입력·버튼·풀다운·동적 텍스트</x:v>
      </x:c>
    </x:row>
    <x:row r="17">
      <x:c r="A17" s="74" t="str">
        <x:v>outputs/full-plan-20260719/78-visual.log</x:v>
      </x:c>
      <x:c r="B17" s="74" t="str">
        <x:v>전체 시각 검증 기준</x:v>
      </x:c>
      <x:c r="C17" s="74" t="str">
        <x:v>PASS</x:v>
      </x:c>
      <x:c r="D17" s="74" t="str">
        <x:v>기존 240뷰포트 전수 기준</x:v>
      </x:c>
    </x:row>
  </x:sheetData>
  <x:mergeCells>
    <x:mergeCell ref="A1:D1"/>
    <x:mergeCell ref="A2:D2"/>
  </x:mergeCells>
  <x:conditionalFormatting sqref="C5:C17">
    <x:cfRule type="containsText" dxfId="5" priority="1" operator="containsText" text="PASS"/>
    <x:cfRule type="containsText" dxfId="6" priority="2" operator="containsText" text="BLOCKED"/>
  </x:conditionalFormatting>
  <x:pageMargins left="0.7" right="0.7" top="0.75" bottom="0.75" header="0.3" footer="0.3"/>
  <x:tableParts count="1">
    <x:tablePart xmlns:r="http://schemas.openxmlformats.org/officeDocument/2006/relationships" r:id="R2ac4fd48a2044a70"/>
  </x:tableParts>
</x:worksheet>
</file>